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R - Tagudin Campus\Downloads\"/>
    </mc:Choice>
  </mc:AlternateContent>
  <bookViews>
    <workbookView xWindow="-105" yWindow="-105" windowWidth="19425" windowHeight="10305"/>
  </bookViews>
  <sheets>
    <sheet name="BALANCE" sheetId="3" r:id="rId1"/>
    <sheet name="SERVICE CREDIT" sheetId="4" r:id="rId2"/>
  </sheets>
  <definedNames>
    <definedName name="_xlnm.Print_Area" localSheetId="0">BALANCE!$A$1:$K$59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9" i="3" l="1"/>
  <c r="K118" i="3"/>
  <c r="K117" i="3"/>
  <c r="K116" i="3"/>
  <c r="K115" i="3"/>
  <c r="K114" i="3"/>
  <c r="K113" i="3"/>
  <c r="K112" i="3"/>
  <c r="K111" i="3"/>
  <c r="K110" i="3"/>
  <c r="K107" i="3"/>
  <c r="K106" i="3"/>
  <c r="K105" i="3"/>
  <c r="G120" i="3"/>
  <c r="G118" i="3"/>
  <c r="G117" i="3"/>
  <c r="G116" i="3"/>
  <c r="G115" i="3"/>
  <c r="G113" i="3"/>
  <c r="G112" i="3"/>
  <c r="G111" i="3"/>
  <c r="G110" i="3"/>
  <c r="G109" i="3"/>
  <c r="G108" i="3"/>
  <c r="G107" i="3"/>
  <c r="G106" i="3"/>
  <c r="G105" i="3"/>
  <c r="G102" i="3"/>
  <c r="K101" i="3"/>
  <c r="K100" i="3"/>
  <c r="K99" i="3"/>
  <c r="K98" i="3"/>
  <c r="K92" i="3"/>
  <c r="K30" i="4"/>
  <c r="K90" i="3"/>
  <c r="K89" i="3"/>
  <c r="K88" i="3"/>
  <c r="K87" i="3"/>
  <c r="K80" i="3"/>
  <c r="K79" i="3"/>
  <c r="K78" i="3"/>
  <c r="K77" i="3"/>
  <c r="K75" i="3"/>
  <c r="K73" i="3"/>
  <c r="K59" i="3"/>
  <c r="K57" i="3"/>
  <c r="K56" i="3"/>
  <c r="K29" i="3"/>
  <c r="K30" i="3" s="1"/>
  <c r="K31" i="3" s="1"/>
  <c r="K32" i="3" s="1"/>
  <c r="K33" i="3" s="1"/>
  <c r="K34" i="3" s="1"/>
  <c r="K35" i="3" s="1"/>
  <c r="K36" i="3" s="1"/>
  <c r="K37" i="3" s="1"/>
  <c r="K39" i="3" s="1"/>
  <c r="K41" i="3" s="1"/>
  <c r="K42" i="3" s="1"/>
  <c r="K43" i="3" s="1"/>
  <c r="K44" i="3" s="1"/>
  <c r="K46" i="3" s="1"/>
  <c r="K47" i="3" s="1"/>
  <c r="K49" i="3" s="1"/>
  <c r="K50" i="3" s="1"/>
  <c r="K52" i="3" s="1"/>
  <c r="K53" i="3" s="1"/>
  <c r="K55" i="3" s="1"/>
  <c r="K138" i="3"/>
  <c r="G138" i="3"/>
  <c r="K28" i="4" l="1"/>
  <c r="K27" i="4"/>
  <c r="K25" i="4"/>
  <c r="K23" i="4"/>
  <c r="G23" i="4"/>
  <c r="K20" i="4"/>
  <c r="K17" i="4"/>
  <c r="K16" i="4"/>
  <c r="K15" i="4"/>
  <c r="K12" i="4"/>
  <c r="K11" i="4"/>
  <c r="K205" i="3"/>
  <c r="K210" i="3" s="1"/>
  <c r="K211" i="3" s="1"/>
  <c r="K212" i="3" s="1"/>
  <c r="K214" i="3" s="1"/>
  <c r="K215" i="3" s="1"/>
  <c r="K217" i="3" s="1"/>
  <c r="K219" i="3" s="1"/>
  <c r="K220" i="3" s="1"/>
  <c r="K221" i="3" s="1"/>
  <c r="K223" i="3" s="1"/>
  <c r="K224" i="3" s="1"/>
  <c r="K226" i="3" s="1"/>
  <c r="K229" i="3" s="1"/>
  <c r="K230" i="3" s="1"/>
  <c r="K232" i="3" s="1"/>
  <c r="K233" i="3" s="1"/>
  <c r="K234" i="3" s="1"/>
  <c r="K236" i="3" s="1"/>
  <c r="K237" i="3" s="1"/>
  <c r="K238" i="3" s="1"/>
  <c r="K240" i="3" s="1"/>
  <c r="K241" i="3" s="1"/>
  <c r="K242" i="3" s="1"/>
  <c r="K244" i="3" s="1"/>
  <c r="K247" i="3" s="1"/>
  <c r="K248" i="3" s="1"/>
  <c r="K249" i="3" s="1"/>
  <c r="K250" i="3" s="1"/>
  <c r="K251" i="3" s="1"/>
  <c r="K252" i="3" s="1"/>
  <c r="K253" i="3" s="1"/>
  <c r="K254" i="3" s="1"/>
  <c r="K74" i="4"/>
  <c r="G205" i="3" l="1"/>
  <c r="G206" i="3" s="1"/>
  <c r="G207" i="3" s="1"/>
  <c r="G208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3" i="3" s="1"/>
  <c r="G224" i="3" s="1"/>
  <c r="G225" i="3" s="1"/>
  <c r="G226" i="3" s="1"/>
  <c r="G227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40" i="3" s="1"/>
  <c r="G241" i="3" s="1"/>
  <c r="G242" i="3" s="1"/>
  <c r="G243" i="3" s="1"/>
  <c r="G244" i="3" s="1"/>
  <c r="G245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70" i="3" s="1"/>
  <c r="G272" i="3" s="1"/>
  <c r="G273" i="3" s="1"/>
  <c r="G274" i="3" s="1"/>
  <c r="G275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3" i="3" s="1"/>
  <c r="G294" i="3" s="1"/>
  <c r="G295" i="3" s="1"/>
  <c r="G296" i="3" s="1"/>
  <c r="G297" i="3" s="1"/>
  <c r="G298" i="3" s="1"/>
  <c r="G299" i="3" s="1"/>
  <c r="G301" i="3" s="1"/>
  <c r="G302" i="3" s="1"/>
  <c r="G303" i="3" s="1"/>
  <c r="G304" i="3" s="1"/>
  <c r="G305" i="3" s="1"/>
  <c r="G306" i="3" s="1"/>
  <c r="G307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K255" i="3"/>
  <c r="K256" i="3" s="1"/>
  <c r="K270" i="3" s="1"/>
  <c r="K272" i="3" s="1"/>
  <c r="K273" i="3" s="1"/>
  <c r="K274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3" i="3" s="1"/>
  <c r="K294" i="3" s="1"/>
  <c r="K295" i="3" s="1"/>
  <c r="K296" i="3" s="1"/>
  <c r="K297" i="3" s="1"/>
  <c r="K298" i="3" s="1"/>
  <c r="K299" i="3" s="1"/>
  <c r="K301" i="3" s="1"/>
  <c r="K302" i="3" s="1"/>
  <c r="K303" i="3" s="1"/>
  <c r="K304" i="3" s="1"/>
  <c r="K305" i="3" s="1"/>
  <c r="K306" i="3" s="1"/>
  <c r="K309" i="3" s="1"/>
  <c r="K310" i="3" s="1"/>
  <c r="K311" i="3" s="1"/>
  <c r="K312" i="3" s="1"/>
  <c r="K313" i="3" s="1"/>
  <c r="K315" i="3" s="1"/>
  <c r="K316" i="3" s="1"/>
  <c r="K317" i="3" s="1"/>
  <c r="K318" i="3" s="1"/>
  <c r="K319" i="3" s="1"/>
  <c r="K320" i="3" s="1"/>
  <c r="K334" i="3" l="1"/>
  <c r="K337" i="3" s="1"/>
  <c r="K338" i="3" s="1"/>
  <c r="K339" i="3" s="1"/>
  <c r="K340" i="3" s="1"/>
  <c r="K341" i="3" s="1"/>
  <c r="K342" i="3" s="1"/>
  <c r="K343" i="3" s="1"/>
  <c r="K344" i="3" s="1"/>
  <c r="K346" i="3" s="1"/>
  <c r="K347" i="3" s="1"/>
  <c r="K348" i="3" s="1"/>
  <c r="K350" i="3" s="1"/>
  <c r="K353" i="3" s="1"/>
  <c r="K355" i="3" s="1"/>
  <c r="K356" i="3" s="1"/>
  <c r="K357" i="3" s="1"/>
  <c r="K358" i="3" s="1"/>
  <c r="K362" i="3" s="1"/>
  <c r="K365" i="3" s="1"/>
  <c r="K366" i="3" s="1"/>
  <c r="K367" i="3" s="1"/>
  <c r="K368" i="3" s="1"/>
  <c r="K373" i="3" s="1"/>
  <c r="K374" i="3" s="1"/>
  <c r="K375" i="3" s="1"/>
  <c r="K376" i="3" s="1"/>
  <c r="K377" i="3" s="1"/>
  <c r="K378" i="3" s="1"/>
  <c r="K380" i="3" s="1"/>
  <c r="K382" i="3" s="1"/>
  <c r="K383" i="3" s="1"/>
  <c r="K384" i="3" s="1"/>
  <c r="K385" i="3" s="1"/>
  <c r="K386" i="3" s="1"/>
  <c r="K400" i="3" s="1"/>
  <c r="K402" i="3" s="1"/>
  <c r="K406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27" i="3" s="1"/>
  <c r="K429" i="3" s="1"/>
  <c r="K430" i="3" s="1"/>
  <c r="K431" i="3" s="1"/>
  <c r="K432" i="3" s="1"/>
  <c r="K433" i="3" s="1"/>
  <c r="K435" i="3" s="1"/>
  <c r="K436" i="3" s="1"/>
  <c r="G334" i="3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3" i="3" s="1"/>
  <c r="G355" i="3" s="1"/>
  <c r="G356" i="3" s="1"/>
  <c r="G357" i="3" s="1"/>
  <c r="G358" i="3" s="1"/>
  <c r="G362" i="3" s="1"/>
  <c r="G365" i="3" s="1"/>
  <c r="G366" i="3" s="1"/>
  <c r="G367" i="3" s="1"/>
  <c r="G368" i="3" s="1"/>
  <c r="G369" i="3" s="1"/>
  <c r="G370" i="3" s="1"/>
  <c r="G373" i="3" s="1"/>
  <c r="G374" i="3" s="1"/>
  <c r="G375" i="3" s="1"/>
  <c r="G376" i="3" s="1"/>
  <c r="G377" i="3" s="1"/>
  <c r="G378" i="3" s="1"/>
  <c r="G379" i="3" s="1"/>
  <c r="G380" i="3" s="1"/>
  <c r="G382" i="3" s="1"/>
  <c r="G383" i="3" s="1"/>
  <c r="G384" i="3" s="1"/>
  <c r="G385" i="3" s="1"/>
  <c r="G386" i="3" s="1"/>
  <c r="G400" i="3" s="1"/>
  <c r="G402" i="3" s="1"/>
  <c r="G403" i="3" s="1"/>
  <c r="G405" i="3" s="1"/>
  <c r="G406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3" i="3" s="1"/>
  <c r="G424" i="3" s="1"/>
  <c r="G425" i="3" s="1"/>
  <c r="G426" i="3" s="1"/>
  <c r="G427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</calcChain>
</file>

<file path=xl/sharedStrings.xml><?xml version="1.0" encoding="utf-8"?>
<sst xmlns="http://schemas.openxmlformats.org/spreadsheetml/2006/main" count="568" uniqueCount="205">
  <si>
    <t>EMPLOYEE'S LEAVE LEDGER CARD</t>
  </si>
  <si>
    <t>NAME:</t>
  </si>
  <si>
    <t>OFFICE:</t>
  </si>
  <si>
    <t>(FAMILY NAME)</t>
  </si>
  <si>
    <t xml:space="preserve">(FIRST NAME) </t>
  </si>
  <si>
    <t>(M.I.)</t>
  </si>
  <si>
    <t>FIRST DAY OF GOVERNMENT SERVICE:</t>
  </si>
  <si>
    <t>PERIOD</t>
  </si>
  <si>
    <t>VACATION LEAVE</t>
  </si>
  <si>
    <t>SICK LEAVE</t>
  </si>
  <si>
    <t>FROM</t>
  </si>
  <si>
    <t>TO</t>
  </si>
  <si>
    <t>REMARKS</t>
  </si>
  <si>
    <t>EARNED</t>
  </si>
  <si>
    <t>ABSENCE / UNDERTIME / W/PAY</t>
  </si>
  <si>
    <t>ABSENCE / UNDERTIME / W/O PAY</t>
  </si>
  <si>
    <t>BALANCE</t>
  </si>
  <si>
    <t>FL</t>
  </si>
  <si>
    <t>SL</t>
  </si>
  <si>
    <t>APR. 1-30</t>
  </si>
  <si>
    <t>MAY 1-31</t>
  </si>
  <si>
    <t>SEPT. 1-30</t>
  </si>
  <si>
    <t>NOV. 1-30</t>
  </si>
  <si>
    <t>MONETIZATION</t>
  </si>
  <si>
    <t>MAY. 1-31</t>
  </si>
  <si>
    <t>AUG. 1-31</t>
  </si>
  <si>
    <t>FEB. 1-28</t>
  </si>
  <si>
    <t>BALANCE CARIED FORWARD</t>
  </si>
  <si>
    <t>DEC. 1-31</t>
  </si>
  <si>
    <t>JUNE. 1-30</t>
  </si>
  <si>
    <t>PL</t>
  </si>
  <si>
    <t>VL</t>
  </si>
  <si>
    <t>JAN. 1-31</t>
  </si>
  <si>
    <t>OCT. 1-31</t>
  </si>
  <si>
    <t>JULY. 1-31</t>
  </si>
  <si>
    <t>FEB. 1-29</t>
  </si>
  <si>
    <t>MAR. 1-31</t>
  </si>
  <si>
    <t>JAN.1-31</t>
  </si>
  <si>
    <t>AUG.1-31</t>
  </si>
  <si>
    <t>15MINS</t>
  </si>
  <si>
    <t>SOMERA</t>
  </si>
  <si>
    <t>GEMMA</t>
  </si>
  <si>
    <t>JULY.1-31</t>
  </si>
  <si>
    <t>MAR. 17</t>
  </si>
  <si>
    <t>NOV.1-30</t>
  </si>
  <si>
    <t>DEC. 1-30</t>
  </si>
  <si>
    <t xml:space="preserve"> </t>
  </si>
  <si>
    <t>DEC. 29</t>
  </si>
  <si>
    <t>JUNE.1-30</t>
  </si>
  <si>
    <t>45MINS</t>
  </si>
  <si>
    <t>SPL</t>
  </si>
  <si>
    <t>OCT. UT</t>
  </si>
  <si>
    <t>BALANCE AS OF DECEMBER 31, 2002</t>
  </si>
  <si>
    <t>SEPT.1-30</t>
  </si>
  <si>
    <t xml:space="preserve">  </t>
  </si>
  <si>
    <t>ADDITIONAL</t>
  </si>
  <si>
    <t>APR.1-30</t>
  </si>
  <si>
    <t>OCT.1-31</t>
  </si>
  <si>
    <t>AUG. 9</t>
  </si>
  <si>
    <t>2013</t>
  </si>
  <si>
    <t>APR.24</t>
  </si>
  <si>
    <t>JUNE. 10</t>
  </si>
  <si>
    <t>JULY. 28</t>
  </si>
  <si>
    <t>OCT.13</t>
  </si>
  <si>
    <t>SPL TYPHOON MARIO</t>
  </si>
  <si>
    <t>DEC. 27,28, &amp; 29</t>
  </si>
  <si>
    <t>PL/FL</t>
  </si>
  <si>
    <t>JUN. 1</t>
  </si>
  <si>
    <t>JUN. 1-30</t>
  </si>
  <si>
    <t>JUL. 1-31</t>
  </si>
  <si>
    <t>AUG. 10-11</t>
  </si>
  <si>
    <t>JAN. 9</t>
  </si>
  <si>
    <t>JUL. 12,15</t>
  </si>
  <si>
    <t>DEC. 19,20,23</t>
  </si>
  <si>
    <t>VL(HONGKONG)</t>
  </si>
  <si>
    <t>SEPT. 24</t>
  </si>
  <si>
    <t>NOV.130</t>
  </si>
  <si>
    <t>DEC, 23.28.20</t>
  </si>
  <si>
    <t>JULY. 8,9, 12,13</t>
  </si>
  <si>
    <t>JULY. 19,20,22</t>
  </si>
  <si>
    <t>AUG.2-3</t>
  </si>
  <si>
    <t>AUG. 6,9</t>
  </si>
  <si>
    <t>JULY. 28,29,30</t>
  </si>
  <si>
    <t>JUNE1-30</t>
  </si>
  <si>
    <t>JAN. 4</t>
  </si>
  <si>
    <t>JULY. UT</t>
  </si>
  <si>
    <t>AUG. 26</t>
  </si>
  <si>
    <t>DEC. 19-23</t>
  </si>
  <si>
    <t>184MINS</t>
  </si>
  <si>
    <t>NOV. 1--30</t>
  </si>
  <si>
    <t>OCT UT</t>
  </si>
  <si>
    <t>FL(CANCELLED 4DAYS)</t>
  </si>
  <si>
    <t>2023</t>
  </si>
  <si>
    <t>MAR. 1-30</t>
  </si>
  <si>
    <t>DEC. 11,12,13</t>
  </si>
  <si>
    <t>FL(DISAPPROVED)</t>
  </si>
  <si>
    <t>194MINS</t>
  </si>
  <si>
    <t>MAY. 22</t>
  </si>
  <si>
    <t>APR. UT</t>
  </si>
  <si>
    <t>AUG. UT</t>
  </si>
  <si>
    <t>NOV. UT</t>
  </si>
  <si>
    <t>49MINS</t>
  </si>
  <si>
    <t>286MINS</t>
  </si>
  <si>
    <t>150MINS</t>
  </si>
  <si>
    <t>FEB-APRIL</t>
  </si>
  <si>
    <t>AUG-SEPT</t>
  </si>
  <si>
    <t>OCT-NOV</t>
  </si>
  <si>
    <t>DEC. 18</t>
  </si>
  <si>
    <t>AUG. 8-9</t>
  </si>
  <si>
    <t>SERVICE CREDITS EARNED DURING MAY 9, 2022 M=NATIONAL AND LOCAL ELECTIONS</t>
  </si>
  <si>
    <t>SERVICE CREDITS EARNED FURING THE SEMESTER. 2O22-2023 SEPT. SPET. DEC. 2022 GRADUATE SCHOOOL HONORIUM</t>
  </si>
  <si>
    <t>SEPT. 25</t>
  </si>
  <si>
    <t>JAN.12</t>
  </si>
  <si>
    <t>OCT.4</t>
  </si>
  <si>
    <t>OCT. 18</t>
  </si>
  <si>
    <t>SERVICE CREDITS EARNED DURING BARANGAY &amp; SANGUNIANG KABATAAN ELECTION (BSKE) -OCT. 30 2023</t>
  </si>
  <si>
    <t>DAYS</t>
  </si>
  <si>
    <t>SERVICE CREDITS EARNED DURING MIDYEAR 2024 (JULY-AUGUST 2024)</t>
  </si>
  <si>
    <t>SERVICE CREDITS EARNED DURING NATIONAL &amp; LOCAL ELECTION (MAY 12, 2025</t>
  </si>
  <si>
    <t>AUG, 22 &amp; 26</t>
  </si>
  <si>
    <t>DEC. 17-19</t>
  </si>
  <si>
    <t>OCT. )LATE0</t>
  </si>
  <si>
    <t>MOV (LATE</t>
  </si>
  <si>
    <t>20MINS</t>
  </si>
  <si>
    <t>JAN. 6 PM</t>
  </si>
  <si>
    <t>JAN. 7 AM</t>
  </si>
  <si>
    <t>FEB. 7</t>
  </si>
  <si>
    <t>MAR. 5, 7 AM</t>
  </si>
  <si>
    <t>JUL. 3</t>
  </si>
  <si>
    <r>
      <t>}</t>
    </r>
    <r>
      <rPr>
        <sz val="8"/>
        <color theme="1"/>
        <rFont val="Calibri"/>
        <family val="2"/>
        <scheme val="minor"/>
      </rPr>
      <t xml:space="preserve">    SL</t>
    </r>
  </si>
  <si>
    <t>SUMMER 2002 = 5 DAYS</t>
  </si>
  <si>
    <t>JUNE 2002 = 2 DAYS</t>
  </si>
  <si>
    <t>SEPT. 22 - 24 PM</t>
  </si>
  <si>
    <t>TRESMANIO</t>
  </si>
  <si>
    <t>OLGA</t>
  </si>
  <si>
    <t>S</t>
  </si>
  <si>
    <t>BALANCE AS OF DECEMBER 31, 2003</t>
  </si>
  <si>
    <t>JUN. 26, 29</t>
  </si>
  <si>
    <t>JUL. 4, 10</t>
  </si>
  <si>
    <t>NOV. 5 AM</t>
  </si>
  <si>
    <t>JUN. 11, 14 AM - 15, 24</t>
  </si>
  <si>
    <t>SL - SUMMER, 2004</t>
  </si>
  <si>
    <t>AUG. 5 PM</t>
  </si>
  <si>
    <t>SUMMER, 2003</t>
  </si>
  <si>
    <t>MAY ELECTION</t>
  </si>
  <si>
    <t>SEPT. 10, 17, 21</t>
  </si>
  <si>
    <t>MAY 31, OT</t>
  </si>
  <si>
    <t>JUN. OT</t>
  </si>
  <si>
    <t>JUL. 6 PM, 18 PM. 2006</t>
  </si>
  <si>
    <t>DEC. 2005</t>
  </si>
  <si>
    <t>JAN. FEB., 2006</t>
  </si>
  <si>
    <t>AUG. 2 PM , 8-9 PM,</t>
  </si>
  <si>
    <t>14-15 AM, 16 PM, 17, 24</t>
  </si>
  <si>
    <t>OCT. 2-3 , 6, 10 PM, 11 AM, 20</t>
  </si>
  <si>
    <t>25 PM-26, 27</t>
  </si>
  <si>
    <t>NOV. 9 AM-10, 22, 29</t>
  </si>
  <si>
    <t>DEC. 13-14, 4 PM</t>
  </si>
  <si>
    <t>JAN. 12 PM, 22 PM</t>
  </si>
  <si>
    <t>FEB. 1 PM, 14, 16 PM</t>
  </si>
  <si>
    <t>MAR. 6 PM-7 PM,</t>
  </si>
  <si>
    <t>15 PM - 16 PM</t>
  </si>
  <si>
    <t>AUG. 14, 22 PM</t>
  </si>
  <si>
    <t>SEPT. 4 PM, 5,</t>
  </si>
  <si>
    <t>17 PM, 21 PM</t>
  </si>
  <si>
    <t>DEC. 11 PM</t>
  </si>
  <si>
    <r>
      <rPr>
        <sz val="26"/>
        <color theme="1"/>
        <rFont val="Calibri"/>
        <family val="2"/>
        <scheme val="minor"/>
      </rPr>
      <t>}</t>
    </r>
    <r>
      <rPr>
        <sz val="8"/>
        <color theme="1"/>
        <rFont val="Calibri"/>
        <family val="2"/>
        <scheme val="minor"/>
      </rPr>
      <t xml:space="preserve"> SL</t>
    </r>
  </si>
  <si>
    <r>
      <t>}</t>
    </r>
    <r>
      <rPr>
        <sz val="8"/>
        <color theme="1"/>
        <rFont val="Calibri"/>
        <family val="2"/>
        <scheme val="minor"/>
      </rPr>
      <t xml:space="preserve"> SL</t>
    </r>
  </si>
  <si>
    <r>
      <rPr>
        <sz val="26"/>
        <color theme="1"/>
        <rFont val="Calibri"/>
        <family val="2"/>
        <scheme val="minor"/>
      </rPr>
      <t>}</t>
    </r>
    <r>
      <rPr>
        <sz val="8"/>
        <color theme="1"/>
        <rFont val="Calibri"/>
        <family val="2"/>
        <scheme val="minor"/>
      </rPr>
      <t xml:space="preserve">  ENROLLMENT PERIOD</t>
    </r>
  </si>
  <si>
    <t>DEC. 6 AM</t>
  </si>
  <si>
    <t>SUMMER, 2005</t>
  </si>
  <si>
    <r>
      <t>}</t>
    </r>
    <r>
      <rPr>
        <sz val="8"/>
        <color theme="1"/>
        <rFont val="Calibri"/>
        <family val="2"/>
        <scheme val="minor"/>
      </rPr>
      <t xml:space="preserve"> LEVEL II ACCREDITATION PREP.</t>
    </r>
  </si>
  <si>
    <r>
      <t>}</t>
    </r>
    <r>
      <rPr>
        <sz val="8"/>
        <color theme="1"/>
        <rFont val="Calibri"/>
        <family val="2"/>
        <scheme val="minor"/>
      </rPr>
      <t xml:space="preserve"> </t>
    </r>
  </si>
  <si>
    <r>
      <rPr>
        <sz val="26"/>
        <color theme="1"/>
        <rFont val="Calibri"/>
        <family val="2"/>
        <scheme val="minor"/>
      </rPr>
      <t>}</t>
    </r>
    <r>
      <rPr>
        <sz val="8"/>
        <color theme="1"/>
        <rFont val="Calibri"/>
        <family val="2"/>
        <scheme val="minor"/>
      </rPr>
      <t xml:space="preserve"> 10.5</t>
    </r>
  </si>
  <si>
    <r>
      <rPr>
        <sz val="26"/>
        <color theme="1"/>
        <rFont val="Calibri"/>
        <family val="2"/>
        <scheme val="minor"/>
      </rPr>
      <t>}</t>
    </r>
    <r>
      <rPr>
        <sz val="8"/>
        <color theme="1"/>
        <rFont val="Calibri"/>
        <family val="2"/>
        <scheme val="minor"/>
      </rPr>
      <t xml:space="preserve"> 6</t>
    </r>
  </si>
  <si>
    <r>
      <rPr>
        <sz val="26"/>
        <color theme="1"/>
        <rFont val="Calibri"/>
        <family val="2"/>
        <scheme val="minor"/>
      </rPr>
      <t xml:space="preserve">} </t>
    </r>
    <r>
      <rPr>
        <sz val="8"/>
        <color theme="1"/>
        <rFont val="Calibri"/>
        <family val="2"/>
        <scheme val="minor"/>
      </rPr>
      <t>2.5</t>
    </r>
  </si>
  <si>
    <t>JUN. 11PM</t>
  </si>
  <si>
    <t>JUL. 2</t>
  </si>
  <si>
    <t>AUG. 13</t>
  </si>
  <si>
    <t>FEB. 28 AM</t>
  </si>
  <si>
    <t>JUL. 2 AM, 3, 24 PM, 31</t>
  </si>
  <si>
    <t>AUG. 6, 13, 17, 24 PM, 7 PM</t>
  </si>
  <si>
    <t>SL - ACCREDITATION PREP. DECEMBER 2008 (78 DAYS)</t>
  </si>
  <si>
    <t>SEPT. 14 PM, 20, 30</t>
  </si>
  <si>
    <t>NOV. 9, 20, 25</t>
  </si>
  <si>
    <t>JAN. 7PM, 8, 15, 16, 27</t>
  </si>
  <si>
    <t>JUL. 1 PM, 2 PM, 4 PM, 27</t>
  </si>
  <si>
    <t>AUG. 6 PM, 9</t>
  </si>
  <si>
    <t>SL - ACCREDITATION PREPARATION (JULY - SEPT 2010) 79 DAYS</t>
  </si>
  <si>
    <t>MAY 31, 2011</t>
  </si>
  <si>
    <t>JUNE 15 PM, 23 PM, 24</t>
  </si>
  <si>
    <t>JULY 7 PM, 8, 13</t>
  </si>
  <si>
    <t>SEPT. 9, 12 PM, 16</t>
  </si>
  <si>
    <t>OCT. 5 &amp; 30</t>
  </si>
  <si>
    <t>NOV. 5</t>
  </si>
  <si>
    <t>JAN 17 PM,30</t>
  </si>
  <si>
    <t>0FFECTIVE JULY 15, 2013, SHE COMMENTED VS  CATEGORY ( DESIGNATED AS GRAD.SCH. ???)</t>
  </si>
  <si>
    <t>JULY. 15-31, 2013</t>
  </si>
  <si>
    <t>AUG. SEPT</t>
  </si>
  <si>
    <t>OCT. 4</t>
  </si>
  <si>
    <t>OCT-DEC</t>
  </si>
  <si>
    <t>JAN. 27-30</t>
  </si>
  <si>
    <t>APRIL. 1, 3 &amp;4</t>
  </si>
  <si>
    <t>APRIL. 14&amp; 24</t>
  </si>
  <si>
    <t>JUNE 1-31</t>
  </si>
  <si>
    <t>AUG. 18-20,22,26&amp;27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</si>
</sst>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/>
    </xf>
    <xf numFmtId="15" fontId="2" fillId="0" borderId="3" xfId="0" applyNumberFormat="1" applyFont="1" applyBorder="1"/>
    <xf numFmtId="16" fontId="2" fillId="0" borderId="3" xfId="0" applyNumberFormat="1" applyFont="1" applyBorder="1"/>
    <xf numFmtId="164" fontId="2" fillId="0" borderId="3" xfId="0" applyNumberFormat="1" applyFont="1" applyBorder="1"/>
    <xf numFmtId="164" fontId="2" fillId="2" borderId="3" xfId="0" applyNumberFormat="1" applyFont="1" applyFill="1" applyBorder="1"/>
    <xf numFmtId="0" fontId="2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2" fontId="2" fillId="0" borderId="3" xfId="0" applyNumberFormat="1" applyFont="1" applyBorder="1"/>
    <xf numFmtId="49" fontId="2" fillId="0" borderId="3" xfId="0" applyNumberFormat="1" applyFont="1" applyBorder="1"/>
    <xf numFmtId="0" fontId="2" fillId="0" borderId="3" xfId="0" applyFont="1" applyBorder="1" applyAlignment="1">
      <alignment horizontal="left"/>
    </xf>
    <xf numFmtId="16" fontId="2" fillId="0" borderId="3" xfId="0" applyNumberFormat="1" applyFont="1" applyBorder="1" applyAlignment="1">
      <alignment horizontal="left"/>
    </xf>
    <xf numFmtId="15" fontId="2" fillId="0" borderId="3" xfId="0" applyNumberFormat="1" applyFont="1" applyBorder="1" applyAlignment="1">
      <alignment horizontal="left"/>
    </xf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5" fillId="0" borderId="3" xfId="0" applyFont="1" applyBorder="1" applyAlignment="1">
      <alignment vertical="center"/>
    </xf>
    <xf numFmtId="0" fontId="2" fillId="0" borderId="3" xfId="0" applyFont="1" applyBorder="1" applyAlignment="1"/>
    <xf numFmtId="0" fontId="2" fillId="0" borderId="3" xfId="0" applyFont="1" applyBorder="1" applyAlignment="1">
      <alignment horizontal="center"/>
    </xf>
    <xf numFmtId="2" fontId="2" fillId="2" borderId="3" xfId="0" applyNumberFormat="1" applyFont="1" applyFill="1" applyBorder="1"/>
    <xf numFmtId="17" fontId="2" fillId="0" borderId="3" xfId="0" applyNumberFormat="1" applyFont="1" applyBorder="1"/>
    <xf numFmtId="0" fontId="2" fillId="0" borderId="19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19" xfId="0" applyFont="1" applyBorder="1"/>
    <xf numFmtId="0" fontId="6" fillId="0" borderId="4" xfId="0" applyFont="1" applyBorder="1"/>
    <xf numFmtId="0" fontId="6" fillId="0" borderId="3" xfId="0" applyFont="1" applyBorder="1" applyAlignment="1"/>
    <xf numFmtId="0" fontId="2" fillId="0" borderId="3" xfId="0" applyFont="1" applyBorder="1" applyAlignme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3" xfId="0" applyFont="1" applyBorder="1"/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17931</xdr:colOff>
      <xdr:row>0</xdr:row>
      <xdr:rowOff>0</xdr:rowOff>
    </xdr:from>
    <xdr:to>
      <xdr:col>1</xdr:col>
      <xdr:colOff>663117</xdr:colOff>
      <xdr:row>2</xdr:row>
      <xdr:rowOff>80638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065A34-CCB2-0246-E8A7-49ADEB90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966" y="0"/>
          <a:ext cx="645186" cy="690238"/>
        </a:xfrm>
        <a:prstGeom prst="rect">
          <a:avLst/>
        </a:prstGeom>
      </xdr:spPr>
    </xdr:pic>
    <xdr:clientData/>
  </xdr:twoCellAnchor>
  <xdr:oneCellAnchor>
    <xdr:from>
      <xdr:col>1</xdr:col>
      <xdr:colOff>17931</xdr:colOff>
      <xdr:row>65</xdr:row>
      <xdr:rowOff>0</xdr:rowOff>
    </xdr:from>
    <xdr:ext cx="645186" cy="694903"/>
    <xdr:pic>
      <xdr:nvPicPr>
        <xdr:cNvPr id="8" name="Picture 7">
          <a:extLst>
            <a:ext uri="{FF2B5EF4-FFF2-40B4-BE49-F238E27FC236}">
              <a16:creationId xmlns:a16="http://schemas.microsoft.com/office/drawing/2014/main" id="{0EC472EF-59F1-4A17-8504-90387210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55" y="0"/>
          <a:ext cx="645186" cy="694903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130</xdr:row>
      <xdr:rowOff>0</xdr:rowOff>
    </xdr:from>
    <xdr:ext cx="645186" cy="683888"/>
    <xdr:pic>
      <xdr:nvPicPr>
        <xdr:cNvPr id="16" name="Picture 15">
          <a:extLst>
            <a:ext uri="{FF2B5EF4-FFF2-40B4-BE49-F238E27FC236}">
              <a16:creationId xmlns:a16="http://schemas.microsoft.com/office/drawing/2014/main" id="{36ADC1BB-294C-4E50-AB4C-5BC7B2E1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994" y="0"/>
          <a:ext cx="645186" cy="683888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197</xdr:row>
      <xdr:rowOff>0</xdr:rowOff>
    </xdr:from>
    <xdr:ext cx="645186" cy="683888"/>
    <xdr:pic>
      <xdr:nvPicPr>
        <xdr:cNvPr id="19" name="Picture 18">
          <a:extLst>
            <a:ext uri="{FF2B5EF4-FFF2-40B4-BE49-F238E27FC236}">
              <a16:creationId xmlns:a16="http://schemas.microsoft.com/office/drawing/2014/main" id="{A03C121E-1133-4BFD-8C87-A5962A18B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994" y="24590375"/>
          <a:ext cx="645186" cy="683888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262</xdr:row>
      <xdr:rowOff>0</xdr:rowOff>
    </xdr:from>
    <xdr:ext cx="645186" cy="683888"/>
    <xdr:pic>
      <xdr:nvPicPr>
        <xdr:cNvPr id="20" name="Picture 19">
          <a:extLst>
            <a:ext uri="{FF2B5EF4-FFF2-40B4-BE49-F238E27FC236}">
              <a16:creationId xmlns:a16="http://schemas.microsoft.com/office/drawing/2014/main" id="{E4E4958F-1886-4242-B1E6-291FDFC6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994" y="24590375"/>
          <a:ext cx="645186" cy="683888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65</xdr:row>
      <xdr:rowOff>0</xdr:rowOff>
    </xdr:from>
    <xdr:ext cx="645186" cy="688267"/>
    <xdr:pic>
      <xdr:nvPicPr>
        <xdr:cNvPr id="2" name="Picture 1">
          <a:extLst>
            <a:ext uri="{FF2B5EF4-FFF2-40B4-BE49-F238E27FC236}">
              <a16:creationId xmlns:a16="http://schemas.microsoft.com/office/drawing/2014/main" id="{17B3844C-BD54-4B5F-B0B5-068FD81D2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310" y="0"/>
          <a:ext cx="645186" cy="688267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326</xdr:row>
      <xdr:rowOff>0</xdr:rowOff>
    </xdr:from>
    <xdr:ext cx="645186" cy="683888"/>
    <xdr:pic>
      <xdr:nvPicPr>
        <xdr:cNvPr id="4" name="Picture 3">
          <a:extLst>
            <a:ext uri="{FF2B5EF4-FFF2-40B4-BE49-F238E27FC236}">
              <a16:creationId xmlns:a16="http://schemas.microsoft.com/office/drawing/2014/main" id="{6B085976-BC72-4B63-9F4E-205B0BB0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31" y="13036550"/>
          <a:ext cx="645186" cy="683888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392</xdr:row>
      <xdr:rowOff>0</xdr:rowOff>
    </xdr:from>
    <xdr:ext cx="645186" cy="683888"/>
    <xdr:pic>
      <xdr:nvPicPr>
        <xdr:cNvPr id="5" name="Picture 4">
          <a:extLst>
            <a:ext uri="{FF2B5EF4-FFF2-40B4-BE49-F238E27FC236}">
              <a16:creationId xmlns:a16="http://schemas.microsoft.com/office/drawing/2014/main" id="{3196BA3D-9C14-4164-99B2-C4C4256F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281" y="53232050"/>
          <a:ext cx="645186" cy="683888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130</xdr:row>
      <xdr:rowOff>0</xdr:rowOff>
    </xdr:from>
    <xdr:ext cx="645186" cy="694903"/>
    <xdr:pic>
      <xdr:nvPicPr>
        <xdr:cNvPr id="10" name="Picture 9">
          <a:extLst>
            <a:ext uri="{FF2B5EF4-FFF2-40B4-BE49-F238E27FC236}">
              <a16:creationId xmlns:a16="http://schemas.microsoft.com/office/drawing/2014/main" id="{0EC472EF-59F1-4A17-8504-90387210C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56" y="14973300"/>
          <a:ext cx="645186" cy="694903"/>
        </a:xfrm>
        <a:prstGeom prst="rect">
          <a:avLst/>
        </a:prstGeom>
      </xdr:spPr>
    </xdr:pic>
    <xdr:clientData/>
  </xdr:oneCellAnchor>
  <xdr:oneCellAnchor>
    <xdr:from>
      <xdr:col>1</xdr:col>
      <xdr:colOff>17931</xdr:colOff>
      <xdr:row>130</xdr:row>
      <xdr:rowOff>0</xdr:rowOff>
    </xdr:from>
    <xdr:ext cx="645186" cy="688267"/>
    <xdr:pic>
      <xdr:nvPicPr>
        <xdr:cNvPr id="11" name="Picture 10">
          <a:extLst>
            <a:ext uri="{FF2B5EF4-FFF2-40B4-BE49-F238E27FC236}">
              <a16:creationId xmlns:a16="http://schemas.microsoft.com/office/drawing/2014/main" id="{17B3844C-BD54-4B5F-B0B5-068FD81D2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56" y="14973300"/>
          <a:ext cx="645186" cy="688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17931</xdr:colOff>
      <xdr:row>0</xdr:row>
      <xdr:rowOff>0</xdr:rowOff>
    </xdr:from>
    <xdr:ext cx="645186" cy="683888"/>
    <xdr:pic>
      <xdr:nvPicPr>
        <xdr:cNvPr id="2" name="Picture 1">
          <a:extLst>
            <a:ext uri="{FF2B5EF4-FFF2-40B4-BE49-F238E27FC236}">
              <a16:creationId xmlns:a16="http://schemas.microsoft.com/office/drawing/2014/main" id="{35DA427A-D603-4E46-A21F-A6E505D5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281" y="86360000"/>
          <a:ext cx="645186" cy="683888"/>
        </a:xfrm>
        <a:prstGeom prst="rect">
          <a:avLst/>
        </a:prstGeom>
      </xdr:spPr>
    </xdr:pic>
    <xdr:clientData/>
  </xdr:oneCellAnchor>
  <xdr:oneCellAnchor>
    <xdr:from>
      <xdr:col>3</xdr:col>
      <xdr:colOff>14519</xdr:colOff>
      <xdr:row>20</xdr:row>
      <xdr:rowOff>47875</xdr:rowOff>
    </xdr:from>
    <xdr:ext cx="65" cy="125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8F7214-9AF0-8D26-E4E0-47541AD33D49}"/>
            </a:ext>
          </a:extLst>
        </xdr:cNvPr>
        <xdr:cNvSpPr txBox="1"/>
      </xdr:nvSpPr>
      <xdr:spPr>
        <a:xfrm>
          <a:off x="1843319" y="4613525"/>
          <a:ext cx="6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800" b="0"/>
        </a:p>
      </xdr:txBody>
    </xdr:sp>
    <xdr:clientData/>
  </xdr:oneCellAnchor>
  <xdr:oneCellAnchor>
    <xdr:from>
      <xdr:col>1</xdr:col>
      <xdr:colOff>17931</xdr:colOff>
      <xdr:row>66</xdr:row>
      <xdr:rowOff>0</xdr:rowOff>
    </xdr:from>
    <xdr:ext cx="645186" cy="683888"/>
    <xdr:pic>
      <xdr:nvPicPr>
        <xdr:cNvPr id="5" name="Picture 4">
          <a:extLst>
            <a:ext uri="{FF2B5EF4-FFF2-40B4-BE49-F238E27FC236}">
              <a16:creationId xmlns:a16="http://schemas.microsoft.com/office/drawing/2014/main" id="{9EA95939-1F67-4426-971E-F8F8B471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19" y="0"/>
          <a:ext cx="645186" cy="6838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2"/>
  <sheetViews>
    <sheetView tabSelected="1" zoomScaleNormal="100" workbookViewId="0">
      <selection activeCell="K119" sqref="K119"/>
    </sheetView>
  </sheetViews>
  <sheetFormatPr defaultColWidth="9.140625" defaultRowHeight="11.25" x14ac:dyDescent="0.2"/>
  <cols>
    <col min="1" max="1" width="11" style="6" customWidth="1"/>
    <col min="2" max="2" width="17.85546875" style="2" customWidth="1"/>
    <col min="3" max="3" width="13.140625" style="2" customWidth="1"/>
    <col min="4" max="11" width="11" style="5" customWidth="1"/>
    <col min="12" max="16384" width="9.140625" style="2"/>
  </cols>
  <sheetData>
    <row r="1" spans="1:11" ht="37.700000000000003" customHeight="1" x14ac:dyDescent="0.2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x14ac:dyDescent="0.2">
      <c r="A2" s="3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x14ac:dyDescent="0.25">
      <c r="A3" s="7" t="s">
        <v>1</v>
      </c>
      <c r="B3" s="58" t="s">
        <v>133</v>
      </c>
      <c r="C3" s="58"/>
      <c r="D3" s="58" t="s">
        <v>134</v>
      </c>
      <c r="E3" s="58"/>
      <c r="F3" s="8" t="s">
        <v>135</v>
      </c>
      <c r="G3" s="9" t="s">
        <v>2</v>
      </c>
      <c r="H3" s="58"/>
      <c r="I3" s="58"/>
      <c r="J3" s="58"/>
      <c r="K3" s="58"/>
    </row>
    <row r="4" spans="1:11" ht="15" x14ac:dyDescent="0.25">
      <c r="A4" s="7"/>
      <c r="B4" s="53" t="s">
        <v>3</v>
      </c>
      <c r="C4" s="53"/>
      <c r="D4" s="53" t="s">
        <v>4</v>
      </c>
      <c r="E4" s="53"/>
      <c r="F4" s="10" t="s">
        <v>5</v>
      </c>
      <c r="G4" s="9"/>
      <c r="H4" s="9"/>
      <c r="I4" s="9"/>
      <c r="J4" s="9"/>
      <c r="K4" s="9"/>
    </row>
    <row r="5" spans="1:11" ht="15.75" thickBot="1" x14ac:dyDescent="0.25">
      <c r="A5" s="11" t="s">
        <v>6</v>
      </c>
      <c r="B5" s="12"/>
      <c r="C5" s="12"/>
      <c r="D5" s="54"/>
      <c r="E5" s="54"/>
      <c r="F5" s="54"/>
      <c r="G5" s="10"/>
      <c r="H5" s="10"/>
      <c r="I5" s="10"/>
      <c r="J5" s="10"/>
      <c r="K5" s="10"/>
    </row>
    <row r="6" spans="1:11" ht="15.75" thickBot="1" x14ac:dyDescent="0.25">
      <c r="A6" s="55" t="s">
        <v>7</v>
      </c>
      <c r="B6" s="51"/>
      <c r="C6" s="51"/>
      <c r="D6" s="51" t="s">
        <v>8</v>
      </c>
      <c r="E6" s="51"/>
      <c r="F6" s="51"/>
      <c r="G6" s="51"/>
      <c r="H6" s="51" t="s">
        <v>9</v>
      </c>
      <c r="I6" s="51"/>
      <c r="J6" s="51"/>
      <c r="K6" s="52"/>
    </row>
    <row r="7" spans="1:11" ht="43.35" customHeight="1" x14ac:dyDescent="0.2">
      <c r="A7" s="13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4" t="s">
        <v>13</v>
      </c>
      <c r="I7" s="14" t="s">
        <v>14</v>
      </c>
      <c r="J7" s="14" t="s">
        <v>15</v>
      </c>
      <c r="K7" s="14" t="s">
        <v>16</v>
      </c>
    </row>
    <row r="8" spans="1:11" ht="18.600000000000001" customHeight="1" x14ac:dyDescent="0.2">
      <c r="A8" s="4"/>
      <c r="B8" s="44" t="s">
        <v>52</v>
      </c>
      <c r="C8" s="45"/>
      <c r="D8" s="46"/>
      <c r="E8" s="4"/>
      <c r="F8" s="4"/>
      <c r="G8" s="4"/>
      <c r="H8" s="4"/>
      <c r="I8" s="4"/>
      <c r="J8" s="4"/>
      <c r="K8" s="4"/>
    </row>
    <row r="9" spans="1:11" ht="18.600000000000001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8.600000000000001" customHeight="1" x14ac:dyDescent="0.2">
      <c r="A10" s="4">
        <v>2003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8.600000000000001" customHeight="1" x14ac:dyDescent="0.2">
      <c r="A11" s="4"/>
      <c r="B11" s="4" t="s">
        <v>124</v>
      </c>
      <c r="C11" s="47" t="s">
        <v>129</v>
      </c>
      <c r="D11" s="4"/>
      <c r="E11" s="4"/>
      <c r="F11" s="4"/>
      <c r="G11" s="4"/>
      <c r="H11" s="4"/>
      <c r="I11" s="4"/>
      <c r="J11" s="4"/>
      <c r="K11" s="4"/>
    </row>
    <row r="12" spans="1:11" ht="18.600000000000001" customHeight="1" x14ac:dyDescent="0.2">
      <c r="A12" s="4"/>
      <c r="B12" s="4" t="s">
        <v>125</v>
      </c>
      <c r="C12" s="40"/>
      <c r="D12" s="4"/>
      <c r="E12" s="4"/>
      <c r="F12" s="4"/>
      <c r="G12" s="4"/>
      <c r="H12" s="4"/>
      <c r="I12" s="36"/>
      <c r="J12" s="4">
        <v>1</v>
      </c>
      <c r="K12" s="4"/>
    </row>
    <row r="13" spans="1:11" ht="18.600000000000001" customHeight="1" x14ac:dyDescent="0.2">
      <c r="A13" s="4"/>
      <c r="B13" s="4" t="s">
        <v>126</v>
      </c>
      <c r="C13" s="4"/>
      <c r="D13" s="4"/>
      <c r="E13" s="4"/>
      <c r="F13" s="4"/>
      <c r="G13" s="4"/>
      <c r="H13" s="4"/>
      <c r="I13" s="36"/>
      <c r="J13" s="4">
        <v>1</v>
      </c>
      <c r="K13" s="4"/>
    </row>
    <row r="14" spans="1:11" ht="18.600000000000001" customHeight="1" x14ac:dyDescent="0.2">
      <c r="A14" s="4"/>
      <c r="B14" s="4" t="s">
        <v>127</v>
      </c>
      <c r="C14" s="4"/>
      <c r="D14" s="4"/>
      <c r="E14" s="4"/>
      <c r="F14" s="4"/>
      <c r="G14" s="4"/>
      <c r="H14" s="4"/>
      <c r="I14" s="36"/>
      <c r="J14" s="4">
        <v>1.5</v>
      </c>
      <c r="K14" s="4"/>
    </row>
    <row r="15" spans="1:11" ht="18.600000000000001" customHeight="1" x14ac:dyDescent="0.2">
      <c r="A15" s="4"/>
      <c r="B15" s="4" t="s">
        <v>128</v>
      </c>
      <c r="C15" s="4"/>
      <c r="D15" s="4"/>
      <c r="E15" s="4"/>
      <c r="F15" s="4"/>
      <c r="G15" s="4"/>
      <c r="H15" s="4"/>
      <c r="I15" s="36"/>
      <c r="J15" s="4">
        <v>0.5</v>
      </c>
      <c r="K15" s="4"/>
    </row>
    <row r="16" spans="1:11" ht="18.600000000000001" customHeight="1" x14ac:dyDescent="0.2">
      <c r="A16" s="4"/>
      <c r="B16" s="4"/>
      <c r="C16" s="41" t="s">
        <v>130</v>
      </c>
      <c r="D16" s="42"/>
      <c r="E16" s="42"/>
      <c r="F16" s="43"/>
      <c r="G16" s="4"/>
      <c r="H16" s="4"/>
      <c r="I16" s="4"/>
      <c r="J16" s="4"/>
      <c r="K16" s="4">
        <v>5</v>
      </c>
    </row>
    <row r="17" spans="1:11" ht="18.600000000000001" customHeight="1" x14ac:dyDescent="0.2">
      <c r="A17" s="4"/>
      <c r="B17" s="4"/>
      <c r="C17" s="41" t="s">
        <v>131</v>
      </c>
      <c r="D17" s="42"/>
      <c r="E17" s="42"/>
      <c r="F17" s="43"/>
      <c r="G17" s="4"/>
      <c r="H17" s="4"/>
      <c r="I17" s="4"/>
      <c r="J17" s="4"/>
      <c r="K17" s="4">
        <v>7</v>
      </c>
    </row>
    <row r="18" spans="1:11" ht="18.600000000000001" customHeight="1" x14ac:dyDescent="0.2">
      <c r="A18" s="4"/>
      <c r="B18" s="35" t="s">
        <v>132</v>
      </c>
      <c r="C18" s="35" t="s">
        <v>18</v>
      </c>
      <c r="D18" s="35"/>
      <c r="E18" s="35"/>
      <c r="F18" s="35"/>
      <c r="G18" s="4"/>
      <c r="H18" s="4"/>
      <c r="I18" s="4">
        <v>3.5</v>
      </c>
      <c r="J18" s="4"/>
      <c r="K18" s="4">
        <v>3.5</v>
      </c>
    </row>
    <row r="19" spans="1:11" ht="18.600000000000001" customHeight="1" x14ac:dyDescent="0.2">
      <c r="A19" s="4"/>
      <c r="B19" s="4"/>
      <c r="C19" s="34"/>
      <c r="D19" s="22"/>
      <c r="E19" s="22"/>
      <c r="F19" s="4"/>
      <c r="G19" s="4"/>
      <c r="H19" s="4"/>
      <c r="I19" s="4"/>
      <c r="J19" s="4"/>
      <c r="K19" s="4"/>
    </row>
    <row r="20" spans="1:11" ht="18.600000000000001" customHeight="1" x14ac:dyDescent="0.2">
      <c r="A20" s="4"/>
      <c r="B20" s="44" t="s">
        <v>136</v>
      </c>
      <c r="C20" s="45"/>
      <c r="D20" s="46"/>
      <c r="E20" s="4"/>
      <c r="F20" s="4"/>
      <c r="G20" s="4"/>
      <c r="H20" s="4"/>
      <c r="I20" s="4"/>
      <c r="J20" s="4"/>
      <c r="K20" s="4">
        <v>3.5</v>
      </c>
    </row>
    <row r="21" spans="1:11" ht="18.600000000000001" customHeight="1" x14ac:dyDescent="0.2">
      <c r="A21" s="4"/>
      <c r="B21" s="4" t="s">
        <v>137</v>
      </c>
      <c r="C21" s="4"/>
      <c r="D21" s="4"/>
      <c r="E21" s="4"/>
      <c r="F21" s="4"/>
      <c r="G21" s="4"/>
      <c r="H21" s="4"/>
      <c r="I21" s="4">
        <v>2</v>
      </c>
      <c r="J21" s="4"/>
      <c r="K21" s="4"/>
    </row>
    <row r="22" spans="1:11" ht="18.600000000000001" customHeight="1" x14ac:dyDescent="0.2">
      <c r="A22" s="4"/>
      <c r="B22" s="4" t="s">
        <v>138</v>
      </c>
      <c r="C22" s="4"/>
      <c r="D22" s="4"/>
      <c r="E22" s="4"/>
      <c r="F22" s="4"/>
      <c r="G22" s="4"/>
      <c r="H22" s="4"/>
      <c r="I22" s="4">
        <v>1.5</v>
      </c>
      <c r="J22" s="4">
        <v>0.5</v>
      </c>
      <c r="K22" s="4"/>
    </row>
    <row r="23" spans="1:11" ht="18.600000000000001" customHeight="1" x14ac:dyDescent="0.2">
      <c r="A23" s="4"/>
      <c r="B23" s="4" t="s">
        <v>139</v>
      </c>
      <c r="C23" s="4"/>
      <c r="D23" s="4"/>
      <c r="E23" s="4"/>
      <c r="F23" s="4"/>
      <c r="G23" s="4"/>
      <c r="H23" s="4"/>
      <c r="I23" s="4">
        <v>0.5</v>
      </c>
      <c r="J23" s="4"/>
      <c r="K23" s="4"/>
    </row>
    <row r="24" spans="1:11" ht="18.600000000000001" customHeight="1" x14ac:dyDescent="0.2">
      <c r="A24" s="4"/>
      <c r="B24" s="4" t="s">
        <v>140</v>
      </c>
      <c r="C24" s="4"/>
      <c r="D24" s="4"/>
      <c r="E24" s="4"/>
      <c r="F24" s="4"/>
      <c r="G24" s="4"/>
      <c r="H24" s="4"/>
      <c r="I24" s="4"/>
      <c r="J24" s="4">
        <v>3.5</v>
      </c>
      <c r="K24" s="4"/>
    </row>
    <row r="25" spans="1:11" ht="18.600000000000001" customHeight="1" x14ac:dyDescent="0.2">
      <c r="A25" s="4"/>
      <c r="B25" s="41" t="s">
        <v>141</v>
      </c>
      <c r="C25" s="43"/>
      <c r="D25" s="4">
        <v>1</v>
      </c>
      <c r="E25" s="4"/>
      <c r="F25" s="4"/>
      <c r="G25" s="4"/>
      <c r="H25" s="4"/>
      <c r="I25" s="4"/>
      <c r="J25" s="4"/>
      <c r="K25" s="4">
        <v>1</v>
      </c>
    </row>
    <row r="26" spans="1:11" ht="18.600000000000001" customHeight="1" x14ac:dyDescent="0.2">
      <c r="A26" s="4"/>
      <c r="B26" s="4" t="s">
        <v>142</v>
      </c>
      <c r="C26" s="4"/>
      <c r="D26" s="4"/>
      <c r="E26" s="4"/>
      <c r="F26" s="4"/>
      <c r="G26" s="4"/>
      <c r="H26" s="4"/>
      <c r="I26" s="4">
        <v>0.5</v>
      </c>
      <c r="J26" s="4"/>
      <c r="K26" s="4">
        <v>0.5</v>
      </c>
    </row>
    <row r="27" spans="1:11" ht="18.60000000000000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8.600000000000001" customHeight="1" x14ac:dyDescent="0.2">
      <c r="A28" s="4"/>
      <c r="B28" s="4" t="s">
        <v>143</v>
      </c>
      <c r="C28" s="4"/>
      <c r="D28" s="36"/>
      <c r="E28" s="36"/>
      <c r="F28" s="36"/>
      <c r="G28" s="36"/>
      <c r="H28" s="4">
        <v>6.25</v>
      </c>
      <c r="I28" s="4"/>
      <c r="J28" s="4"/>
      <c r="K28" s="4">
        <v>6.25</v>
      </c>
    </row>
    <row r="29" spans="1:11" ht="18.600000000000001" customHeight="1" x14ac:dyDescent="0.2">
      <c r="A29" s="4">
        <v>2004</v>
      </c>
      <c r="B29" s="4" t="s">
        <v>144</v>
      </c>
      <c r="C29" s="4"/>
      <c r="D29" s="36"/>
      <c r="E29" s="36"/>
      <c r="F29" s="36"/>
      <c r="G29" s="36"/>
      <c r="H29" s="4">
        <v>5</v>
      </c>
      <c r="I29" s="4"/>
      <c r="J29" s="4"/>
      <c r="K29" s="4">
        <f>K28+H29</f>
        <v>11.25</v>
      </c>
    </row>
    <row r="30" spans="1:11" ht="18.600000000000001" customHeight="1" x14ac:dyDescent="0.2">
      <c r="A30" s="4"/>
      <c r="B30" s="4" t="s">
        <v>145</v>
      </c>
      <c r="C30" s="4" t="s">
        <v>18</v>
      </c>
      <c r="D30" s="36"/>
      <c r="E30" s="36"/>
      <c r="F30" s="36"/>
      <c r="G30" s="36"/>
      <c r="H30" s="4"/>
      <c r="I30" s="4">
        <v>3</v>
      </c>
      <c r="J30" s="4"/>
      <c r="K30" s="4">
        <f>K29-I30</f>
        <v>8.25</v>
      </c>
    </row>
    <row r="31" spans="1:11" ht="18.600000000000001" customHeight="1" x14ac:dyDescent="0.2">
      <c r="A31" s="4"/>
      <c r="B31" s="4" t="s">
        <v>146</v>
      </c>
      <c r="C31" s="39" t="s">
        <v>167</v>
      </c>
      <c r="D31" s="36"/>
      <c r="E31" s="36"/>
      <c r="F31" s="36"/>
      <c r="G31" s="36"/>
      <c r="H31" s="4">
        <v>1</v>
      </c>
      <c r="I31" s="4"/>
      <c r="J31" s="4"/>
      <c r="K31" s="4">
        <f>K30+H31</f>
        <v>9.25</v>
      </c>
    </row>
    <row r="32" spans="1:11" ht="18.600000000000001" customHeight="1" x14ac:dyDescent="0.2">
      <c r="A32" s="4"/>
      <c r="B32" s="4" t="s">
        <v>147</v>
      </c>
      <c r="C32" s="40"/>
      <c r="D32" s="36"/>
      <c r="E32" s="36"/>
      <c r="F32" s="36"/>
      <c r="G32" s="36"/>
      <c r="H32" s="4">
        <v>9</v>
      </c>
      <c r="I32" s="4"/>
      <c r="J32" s="4"/>
      <c r="K32" s="4">
        <f>K31+H32</f>
        <v>18.25</v>
      </c>
    </row>
    <row r="33" spans="1:11" ht="18.600000000000001" customHeight="1" x14ac:dyDescent="0.2">
      <c r="A33" s="4"/>
      <c r="B33" s="2" t="s">
        <v>168</v>
      </c>
      <c r="C33" s="4"/>
      <c r="D33" s="36"/>
      <c r="E33" s="36"/>
      <c r="F33" s="36"/>
      <c r="G33" s="36"/>
      <c r="H33" s="4"/>
      <c r="I33" s="4">
        <v>0.5</v>
      </c>
      <c r="J33" s="4"/>
      <c r="K33" s="4">
        <f>K32-I33</f>
        <v>17.75</v>
      </c>
    </row>
    <row r="34" spans="1:11" ht="18.600000000000001" customHeight="1" x14ac:dyDescent="0.2">
      <c r="A34" s="24"/>
      <c r="B34" s="4" t="s">
        <v>169</v>
      </c>
      <c r="C34" s="4"/>
      <c r="D34" s="36"/>
      <c r="E34" s="36"/>
      <c r="F34" s="36"/>
      <c r="G34" s="36"/>
      <c r="H34" s="4">
        <v>7.3</v>
      </c>
      <c r="I34" s="4"/>
      <c r="J34" s="4"/>
      <c r="K34" s="4">
        <f>K33+H34</f>
        <v>25.05</v>
      </c>
    </row>
    <row r="35" spans="1:11" ht="18.600000000000001" customHeight="1" x14ac:dyDescent="0.2">
      <c r="A35" s="24"/>
      <c r="B35" s="4" t="s">
        <v>148</v>
      </c>
      <c r="C35" s="4"/>
      <c r="D35" s="36"/>
      <c r="E35" s="36"/>
      <c r="F35" s="36"/>
      <c r="G35" s="36"/>
      <c r="H35" s="4"/>
      <c r="I35" s="4">
        <v>1</v>
      </c>
      <c r="J35" s="4"/>
      <c r="K35" s="4">
        <f>K34-I35</f>
        <v>24.05</v>
      </c>
    </row>
    <row r="36" spans="1:11" ht="18.600000000000001" customHeight="1" x14ac:dyDescent="0.2">
      <c r="A36" s="4"/>
      <c r="B36" s="4">
        <v>28</v>
      </c>
      <c r="C36" s="4" t="s">
        <v>18</v>
      </c>
      <c r="D36" s="36"/>
      <c r="E36" s="36"/>
      <c r="F36" s="36"/>
      <c r="G36" s="36"/>
      <c r="H36" s="4"/>
      <c r="I36" s="4">
        <v>1</v>
      </c>
      <c r="J36" s="4"/>
      <c r="K36" s="4">
        <f>K35-I36</f>
        <v>23.05</v>
      </c>
    </row>
    <row r="37" spans="1:11" ht="18.600000000000001" customHeight="1" x14ac:dyDescent="0.2">
      <c r="A37" s="4"/>
      <c r="B37" s="4" t="s">
        <v>149</v>
      </c>
      <c r="C37" s="65" t="s">
        <v>170</v>
      </c>
      <c r="D37" s="36"/>
      <c r="E37" s="36"/>
      <c r="F37" s="36"/>
      <c r="G37" s="36"/>
      <c r="H37" s="39" t="s">
        <v>172</v>
      </c>
      <c r="I37" s="4"/>
      <c r="J37" s="4"/>
      <c r="K37" s="39">
        <f>K36+10.5</f>
        <v>33.549999999999997</v>
      </c>
    </row>
    <row r="38" spans="1:11" ht="18.600000000000001" customHeight="1" x14ac:dyDescent="0.2">
      <c r="A38" s="4"/>
      <c r="B38" s="4" t="s">
        <v>150</v>
      </c>
      <c r="C38" s="65"/>
      <c r="D38" s="36"/>
      <c r="E38" s="36"/>
      <c r="F38" s="36"/>
      <c r="G38" s="36"/>
      <c r="H38" s="40"/>
      <c r="I38" s="4"/>
      <c r="J38" s="4"/>
      <c r="K38" s="40"/>
    </row>
    <row r="39" spans="1:11" ht="18.600000000000001" customHeight="1" x14ac:dyDescent="0.2">
      <c r="A39" s="4"/>
      <c r="B39" s="4" t="s">
        <v>151</v>
      </c>
      <c r="C39" s="47" t="s">
        <v>171</v>
      </c>
      <c r="D39" s="36"/>
      <c r="E39" s="36"/>
      <c r="F39" s="36"/>
      <c r="G39" s="36"/>
      <c r="H39" s="4"/>
      <c r="I39" s="39" t="s">
        <v>173</v>
      </c>
      <c r="J39" s="4"/>
      <c r="K39" s="39">
        <f>K37-6</f>
        <v>27.549999999999997</v>
      </c>
    </row>
    <row r="40" spans="1:11" ht="18.600000000000001" customHeight="1" x14ac:dyDescent="0.2">
      <c r="A40" s="4"/>
      <c r="B40" s="4" t="s">
        <v>152</v>
      </c>
      <c r="C40" s="48"/>
      <c r="D40" s="36"/>
      <c r="E40" s="36"/>
      <c r="F40" s="36"/>
      <c r="G40" s="36"/>
      <c r="H40" s="4"/>
      <c r="I40" s="40"/>
      <c r="J40" s="4"/>
      <c r="K40" s="40"/>
    </row>
    <row r="41" spans="1:11" ht="18.600000000000001" customHeight="1" x14ac:dyDescent="0.2">
      <c r="A41" s="4"/>
      <c r="B41" s="4" t="s">
        <v>153</v>
      </c>
      <c r="C41" s="4"/>
      <c r="D41" s="36"/>
      <c r="E41" s="36"/>
      <c r="F41" s="36"/>
      <c r="G41" s="36"/>
      <c r="H41" s="4"/>
      <c r="I41" s="4">
        <v>5</v>
      </c>
      <c r="J41" s="4"/>
      <c r="K41" s="4">
        <f>K39-I41</f>
        <v>22.549999999999997</v>
      </c>
    </row>
    <row r="42" spans="1:11" ht="18.600000000000001" customHeight="1" x14ac:dyDescent="0.2">
      <c r="A42" s="4"/>
      <c r="B42" s="4" t="s">
        <v>154</v>
      </c>
      <c r="C42" s="4"/>
      <c r="D42" s="36"/>
      <c r="E42" s="36"/>
      <c r="F42" s="36"/>
      <c r="G42" s="36"/>
      <c r="H42" s="4"/>
      <c r="I42" s="4">
        <v>2.5</v>
      </c>
      <c r="J42" s="4"/>
      <c r="K42" s="4">
        <f>K41-I42</f>
        <v>20.049999999999997</v>
      </c>
    </row>
    <row r="43" spans="1:11" ht="18.600000000000001" customHeight="1" x14ac:dyDescent="0.2">
      <c r="A43" s="4"/>
      <c r="B43" s="4" t="s">
        <v>155</v>
      </c>
      <c r="C43" s="4" t="s">
        <v>18</v>
      </c>
      <c r="D43" s="36"/>
      <c r="E43" s="36"/>
      <c r="F43" s="36"/>
      <c r="G43" s="36"/>
      <c r="H43" s="4"/>
      <c r="I43" s="4">
        <v>3</v>
      </c>
      <c r="J43" s="4"/>
      <c r="K43" s="4">
        <f>K42-I43</f>
        <v>17.049999999999997</v>
      </c>
    </row>
    <row r="44" spans="1:11" ht="18.600000000000001" customHeight="1" x14ac:dyDescent="0.2">
      <c r="A44" s="4"/>
      <c r="B44" s="4" t="s">
        <v>156</v>
      </c>
      <c r="C44" s="4" t="s">
        <v>18</v>
      </c>
      <c r="D44" s="36"/>
      <c r="E44" s="36"/>
      <c r="F44" s="36"/>
      <c r="G44" s="36"/>
      <c r="H44" s="4"/>
      <c r="I44" s="4">
        <v>2.5</v>
      </c>
      <c r="J44" s="4"/>
      <c r="K44" s="4">
        <f>K43-I44</f>
        <v>14.549999999999997</v>
      </c>
    </row>
    <row r="45" spans="1:11" ht="18.600000000000001" customHeight="1" x14ac:dyDescent="0.2">
      <c r="A45" s="4">
        <v>2007</v>
      </c>
      <c r="B45" s="4"/>
      <c r="C45" s="4"/>
      <c r="D45" s="36"/>
      <c r="E45" s="36"/>
      <c r="F45" s="36"/>
      <c r="G45" s="36"/>
      <c r="H45" s="4"/>
      <c r="I45" s="4"/>
      <c r="J45" s="4"/>
      <c r="K45" s="4"/>
    </row>
    <row r="46" spans="1:11" ht="18.600000000000001" customHeight="1" x14ac:dyDescent="0.2">
      <c r="A46" s="4"/>
      <c r="B46" s="4" t="s">
        <v>157</v>
      </c>
      <c r="C46" s="4" t="s">
        <v>18</v>
      </c>
      <c r="D46" s="36"/>
      <c r="E46" s="36"/>
      <c r="F46" s="36"/>
      <c r="G46" s="36"/>
      <c r="H46" s="4"/>
      <c r="I46" s="4">
        <v>1</v>
      </c>
      <c r="J46" s="4"/>
      <c r="K46" s="4">
        <f>K44-I46</f>
        <v>13.549999999999997</v>
      </c>
    </row>
    <row r="47" spans="1:11" ht="18.600000000000001" customHeight="1" x14ac:dyDescent="0.2">
      <c r="A47" s="4"/>
      <c r="B47" s="4" t="s">
        <v>158</v>
      </c>
      <c r="C47" s="4"/>
      <c r="D47" s="36"/>
      <c r="E47" s="36"/>
      <c r="F47" s="36"/>
      <c r="G47" s="36"/>
      <c r="H47" s="4"/>
      <c r="I47" s="4">
        <v>2</v>
      </c>
      <c r="J47" s="4"/>
      <c r="K47" s="4">
        <f>K46-I47</f>
        <v>11.549999999999997</v>
      </c>
    </row>
    <row r="48" spans="1:11" ht="18.600000000000001" customHeight="1" x14ac:dyDescent="0.2">
      <c r="A48" s="4"/>
      <c r="B48" s="4" t="s">
        <v>159</v>
      </c>
      <c r="C48" s="49" t="s">
        <v>166</v>
      </c>
      <c r="D48" s="36"/>
      <c r="E48" s="36"/>
      <c r="F48" s="36"/>
      <c r="G48" s="36"/>
      <c r="H48" s="4"/>
      <c r="I48" s="4"/>
      <c r="J48" s="4"/>
      <c r="K48" s="4"/>
    </row>
    <row r="49" spans="1:13" ht="18.600000000000001" customHeight="1" x14ac:dyDescent="0.2">
      <c r="A49" s="4"/>
      <c r="B49" s="4" t="s">
        <v>160</v>
      </c>
      <c r="C49" s="49"/>
      <c r="D49" s="36"/>
      <c r="E49" s="36"/>
      <c r="F49" s="36"/>
      <c r="G49" s="36"/>
      <c r="H49" s="4"/>
      <c r="I49" s="4">
        <v>2</v>
      </c>
      <c r="J49" s="4"/>
      <c r="K49" s="4">
        <f>K47-I49</f>
        <v>9.5499999999999972</v>
      </c>
    </row>
    <row r="50" spans="1:13" ht="18.600000000000001" customHeight="1" x14ac:dyDescent="0.2">
      <c r="A50" s="4"/>
      <c r="B50" s="4" t="s">
        <v>161</v>
      </c>
      <c r="C50" s="4" t="s">
        <v>18</v>
      </c>
      <c r="D50" s="36"/>
      <c r="E50" s="36"/>
      <c r="F50" s="36"/>
      <c r="G50" s="36"/>
      <c r="H50" s="4"/>
      <c r="I50" s="4">
        <v>1.5</v>
      </c>
      <c r="J50" s="4"/>
      <c r="K50" s="4">
        <f>K49-I50</f>
        <v>8.0499999999999972</v>
      </c>
    </row>
    <row r="51" spans="1:13" ht="18.600000000000001" customHeight="1" x14ac:dyDescent="0.2">
      <c r="A51" s="4"/>
      <c r="B51" s="4" t="s">
        <v>162</v>
      </c>
      <c r="C51" s="50" t="s">
        <v>165</v>
      </c>
      <c r="D51" s="36"/>
      <c r="E51" s="36"/>
      <c r="F51" s="36"/>
      <c r="G51" s="36"/>
      <c r="H51" s="4"/>
      <c r="I51" s="39" t="s">
        <v>174</v>
      </c>
      <c r="J51" s="4"/>
      <c r="K51" s="4"/>
    </row>
    <row r="52" spans="1:13" ht="18.600000000000001" customHeight="1" x14ac:dyDescent="0.2">
      <c r="A52" s="4"/>
      <c r="B52" s="4" t="s">
        <v>163</v>
      </c>
      <c r="C52" s="50"/>
      <c r="D52" s="36"/>
      <c r="E52" s="36"/>
      <c r="F52" s="36"/>
      <c r="G52" s="36"/>
      <c r="H52" s="4"/>
      <c r="I52" s="40"/>
      <c r="J52" s="4"/>
      <c r="K52" s="4">
        <f>K50-2.5</f>
        <v>5.5499999999999972</v>
      </c>
    </row>
    <row r="53" spans="1:13" ht="18.600000000000001" customHeight="1" x14ac:dyDescent="0.2">
      <c r="A53" s="4"/>
      <c r="B53" s="4" t="s">
        <v>164</v>
      </c>
      <c r="C53" s="4" t="s">
        <v>18</v>
      </c>
      <c r="D53" s="36"/>
      <c r="E53" s="36"/>
      <c r="F53" s="36"/>
      <c r="G53" s="36"/>
      <c r="H53" s="4"/>
      <c r="I53" s="4">
        <v>0.5</v>
      </c>
      <c r="J53" s="4"/>
      <c r="K53" s="4">
        <f>K52-I53</f>
        <v>5.0499999999999972</v>
      </c>
    </row>
    <row r="54" spans="1:13" ht="18.600000000000001" customHeight="1" x14ac:dyDescent="0.2">
      <c r="A54" s="4">
        <v>2008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3" ht="18.600000000000001" customHeight="1" x14ac:dyDescent="0.2">
      <c r="A55" s="4"/>
      <c r="B55" s="4" t="s">
        <v>175</v>
      </c>
      <c r="C55" s="4" t="s">
        <v>18</v>
      </c>
      <c r="D55" s="4"/>
      <c r="E55" s="4"/>
      <c r="F55" s="4"/>
      <c r="G55" s="4"/>
      <c r="H55" s="4"/>
      <c r="I55" s="4">
        <v>0.5</v>
      </c>
      <c r="J55" s="4"/>
      <c r="K55" s="4">
        <f>K53-I55</f>
        <v>4.5499999999999972</v>
      </c>
    </row>
    <row r="56" spans="1:13" ht="18.600000000000001" customHeight="1" x14ac:dyDescent="0.2">
      <c r="A56" s="4"/>
      <c r="B56" s="4" t="s">
        <v>176</v>
      </c>
      <c r="C56" s="4" t="s">
        <v>18</v>
      </c>
      <c r="D56" s="4"/>
      <c r="E56" s="4"/>
      <c r="F56" s="4"/>
      <c r="G56" s="4"/>
      <c r="H56" s="4"/>
      <c r="I56" s="4">
        <v>1</v>
      </c>
      <c r="J56" s="4"/>
      <c r="K56" s="4">
        <f>K55-I56</f>
        <v>3.5499999999999972</v>
      </c>
    </row>
    <row r="57" spans="1:13" ht="18.600000000000001" customHeight="1" x14ac:dyDescent="0.2">
      <c r="A57" s="4"/>
      <c r="B57" s="4" t="s">
        <v>177</v>
      </c>
      <c r="C57" s="4" t="s">
        <v>18</v>
      </c>
      <c r="D57" s="4"/>
      <c r="E57" s="4"/>
      <c r="F57" s="4"/>
      <c r="G57" s="4"/>
      <c r="H57" s="4"/>
      <c r="I57" s="4">
        <v>0.5</v>
      </c>
      <c r="J57" s="4"/>
      <c r="K57" s="4">
        <f>K56-I57</f>
        <v>3.0499999999999972</v>
      </c>
    </row>
    <row r="58" spans="1:13" ht="18.600000000000001" customHeight="1" x14ac:dyDescent="0.2">
      <c r="A58" s="4">
        <v>2009</v>
      </c>
      <c r="B58" s="16"/>
      <c r="C58" s="4"/>
      <c r="D58" s="4"/>
      <c r="E58" s="4"/>
      <c r="F58" s="4"/>
      <c r="G58" s="4"/>
      <c r="H58" s="4"/>
      <c r="I58" s="4"/>
      <c r="J58" s="4"/>
      <c r="K58" s="4"/>
    </row>
    <row r="59" spans="1:13" ht="18.600000000000001" customHeight="1" x14ac:dyDescent="0.2">
      <c r="A59" s="4"/>
      <c r="B59" s="4" t="s">
        <v>178</v>
      </c>
      <c r="C59" s="4" t="s">
        <v>18</v>
      </c>
      <c r="D59" s="4"/>
      <c r="E59" s="4"/>
      <c r="F59" s="4"/>
      <c r="G59" s="4"/>
      <c r="H59" s="4"/>
      <c r="I59" s="4">
        <v>0.5</v>
      </c>
      <c r="J59" s="4"/>
      <c r="K59" s="4">
        <f>K57-I59</f>
        <v>2.5499999999999972</v>
      </c>
    </row>
    <row r="60" spans="1:13" ht="15" x14ac:dyDescent="0.25">
      <c r="A60" s="5"/>
      <c r="B60" s="5"/>
      <c r="C60" s="5"/>
      <c r="L60"/>
      <c r="M60"/>
    </row>
    <row r="61" spans="1:13" ht="15" x14ac:dyDescent="0.25">
      <c r="A61" s="5"/>
      <c r="B61" s="15"/>
      <c r="C61" s="5"/>
      <c r="L61"/>
      <c r="M61"/>
    </row>
    <row r="62" spans="1:13" ht="15" x14ac:dyDescent="0.25">
      <c r="A62" s="5"/>
      <c r="B62" s="5"/>
      <c r="C62" s="5"/>
      <c r="L62"/>
      <c r="M62"/>
    </row>
    <row r="63" spans="1:13" ht="15" x14ac:dyDescent="0.25">
      <c r="A63" s="5"/>
      <c r="B63" s="5"/>
      <c r="C63" s="5"/>
      <c r="L63"/>
      <c r="M63"/>
    </row>
    <row r="64" spans="1:13" ht="15" x14ac:dyDescent="0.25">
      <c r="A64" s="5"/>
      <c r="B64" s="5"/>
      <c r="C64" s="5"/>
      <c r="L64"/>
      <c r="M64"/>
    </row>
    <row r="65" spans="1:13" ht="15" x14ac:dyDescent="0.25">
      <c r="A65" s="5"/>
      <c r="B65" s="5"/>
      <c r="C65" s="5"/>
      <c r="L65"/>
      <c r="M65"/>
    </row>
    <row r="66" spans="1:13" ht="15" customHeight="1" x14ac:dyDescent="0.25">
      <c r="A66" s="56" t="s">
        <v>0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/>
      <c r="M66"/>
    </row>
    <row r="67" spans="1:13" ht="15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/>
      <c r="M67"/>
    </row>
    <row r="68" spans="1:13" ht="15" x14ac:dyDescent="0.25">
      <c r="A68" s="7" t="s">
        <v>1</v>
      </c>
      <c r="B68" s="58" t="s">
        <v>40</v>
      </c>
      <c r="C68" s="58"/>
      <c r="D68" s="58" t="s">
        <v>41</v>
      </c>
      <c r="E68" s="58"/>
      <c r="F68" s="8"/>
      <c r="G68" s="9" t="s">
        <v>2</v>
      </c>
      <c r="H68" s="58"/>
      <c r="I68" s="58"/>
      <c r="J68" s="58"/>
      <c r="K68" s="58"/>
      <c r="L68"/>
      <c r="M68"/>
    </row>
    <row r="69" spans="1:13" ht="15" x14ac:dyDescent="0.25">
      <c r="A69" s="7"/>
      <c r="B69" s="53" t="s">
        <v>3</v>
      </c>
      <c r="C69" s="53"/>
      <c r="D69" s="53" t="s">
        <v>4</v>
      </c>
      <c r="E69" s="53"/>
      <c r="F69" s="10" t="s">
        <v>5</v>
      </c>
      <c r="G69" s="9"/>
      <c r="H69" s="9"/>
      <c r="I69" s="9"/>
      <c r="J69" s="9"/>
      <c r="K69" s="9"/>
    </row>
    <row r="70" spans="1:13" ht="15.75" thickBot="1" x14ac:dyDescent="0.25">
      <c r="A70" s="11" t="s">
        <v>6</v>
      </c>
      <c r="B70" s="12"/>
      <c r="C70" s="12"/>
      <c r="D70" s="62"/>
      <c r="E70" s="62"/>
      <c r="F70" s="62"/>
      <c r="G70" s="10"/>
      <c r="H70" s="10"/>
      <c r="I70" s="10"/>
      <c r="J70" s="10"/>
      <c r="K70" s="10"/>
    </row>
    <row r="71" spans="1:13" ht="15.75" thickBot="1" x14ac:dyDescent="0.25">
      <c r="A71" s="63" t="s">
        <v>7</v>
      </c>
      <c r="B71" s="60"/>
      <c r="C71" s="64"/>
      <c r="D71" s="59" t="s">
        <v>8</v>
      </c>
      <c r="E71" s="60"/>
      <c r="F71" s="60"/>
      <c r="G71" s="64"/>
      <c r="H71" s="59" t="s">
        <v>9</v>
      </c>
      <c r="I71" s="60"/>
      <c r="J71" s="60"/>
      <c r="K71" s="61"/>
    </row>
    <row r="72" spans="1:13" ht="60" x14ac:dyDescent="0.2">
      <c r="A72" s="13" t="s">
        <v>10</v>
      </c>
      <c r="B72" s="14" t="s">
        <v>11</v>
      </c>
      <c r="C72" s="14" t="s">
        <v>12</v>
      </c>
      <c r="D72" s="14" t="s">
        <v>13</v>
      </c>
      <c r="E72" s="14" t="s">
        <v>14</v>
      </c>
      <c r="F72" s="14" t="s">
        <v>15</v>
      </c>
      <c r="G72" s="14" t="s">
        <v>16</v>
      </c>
      <c r="H72" s="14" t="s">
        <v>13</v>
      </c>
      <c r="I72" s="14" t="s">
        <v>14</v>
      </c>
      <c r="J72" s="14" t="s">
        <v>15</v>
      </c>
      <c r="K72" s="14" t="s">
        <v>16</v>
      </c>
    </row>
    <row r="73" spans="1:13" x14ac:dyDescent="0.2">
      <c r="A73" s="4"/>
      <c r="B73" s="4"/>
      <c r="C73" s="44" t="s">
        <v>27</v>
      </c>
      <c r="D73" s="45"/>
      <c r="E73" s="46"/>
      <c r="F73" s="4"/>
      <c r="G73" s="19"/>
      <c r="H73" s="4"/>
      <c r="I73" s="4"/>
      <c r="J73" s="4"/>
      <c r="K73" s="37">
        <f>K59</f>
        <v>2.5499999999999972</v>
      </c>
    </row>
    <row r="74" spans="1:1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3" x14ac:dyDescent="0.2">
      <c r="A75" s="4"/>
      <c r="B75" s="4"/>
      <c r="C75" s="41" t="s">
        <v>181</v>
      </c>
      <c r="D75" s="42"/>
      <c r="E75" s="42"/>
      <c r="F75" s="43"/>
      <c r="G75" s="4"/>
      <c r="H75" s="4">
        <v>9.75</v>
      </c>
      <c r="I75" s="4"/>
      <c r="J75" s="4"/>
      <c r="K75" s="23">
        <f>K73+H75</f>
        <v>12.299999999999997</v>
      </c>
    </row>
    <row r="76" spans="1:13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3" x14ac:dyDescent="0.2">
      <c r="A77" s="4"/>
      <c r="B77" s="4" t="s">
        <v>179</v>
      </c>
      <c r="C77" s="4" t="s">
        <v>18</v>
      </c>
      <c r="D77" s="4"/>
      <c r="E77" s="4"/>
      <c r="F77" s="4"/>
      <c r="G77" s="4"/>
      <c r="H77" s="4"/>
      <c r="I77" s="4">
        <v>3</v>
      </c>
      <c r="J77" s="4"/>
      <c r="K77" s="23">
        <f>K75-I77</f>
        <v>9.2999999999999972</v>
      </c>
    </row>
    <row r="78" spans="1:13" x14ac:dyDescent="0.2">
      <c r="A78" s="4"/>
      <c r="B78" s="4" t="s">
        <v>180</v>
      </c>
      <c r="C78" s="4" t="s">
        <v>18</v>
      </c>
      <c r="D78" s="4"/>
      <c r="E78" s="4"/>
      <c r="F78" s="4"/>
      <c r="G78" s="4"/>
      <c r="H78" s="4"/>
      <c r="I78" s="4">
        <v>4</v>
      </c>
      <c r="J78" s="4"/>
      <c r="K78" s="23">
        <f>K77-I78</f>
        <v>5.2999999999999972</v>
      </c>
    </row>
    <row r="79" spans="1:13" x14ac:dyDescent="0.2">
      <c r="A79" s="4"/>
      <c r="B79" s="4" t="s">
        <v>182</v>
      </c>
      <c r="C79" s="4" t="s">
        <v>18</v>
      </c>
      <c r="D79" s="4"/>
      <c r="E79" s="4"/>
      <c r="F79" s="4"/>
      <c r="G79" s="4"/>
      <c r="H79" s="4"/>
      <c r="I79" s="4">
        <v>2.5</v>
      </c>
      <c r="J79" s="4"/>
      <c r="K79" s="23">
        <f>K78-I79</f>
        <v>2.7999999999999972</v>
      </c>
    </row>
    <row r="80" spans="1:13" x14ac:dyDescent="0.2">
      <c r="A80" s="4"/>
      <c r="B80" s="4" t="s">
        <v>183</v>
      </c>
      <c r="C80" s="4" t="s">
        <v>18</v>
      </c>
      <c r="D80" s="4"/>
      <c r="E80" s="4"/>
      <c r="F80" s="4"/>
      <c r="G80" s="4"/>
      <c r="H80" s="4"/>
      <c r="I80" s="4">
        <v>2</v>
      </c>
      <c r="J80" s="4">
        <v>1</v>
      </c>
      <c r="K80" s="23">
        <f>K79-I80</f>
        <v>0.79999999999999716</v>
      </c>
    </row>
    <row r="81" spans="1:11" x14ac:dyDescent="0.2">
      <c r="A81" s="4">
        <v>2010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">
      <c r="A82" s="4"/>
      <c r="B82" s="4" t="s">
        <v>184</v>
      </c>
      <c r="C82" s="4" t="s">
        <v>18</v>
      </c>
      <c r="D82" s="4"/>
      <c r="E82" s="4"/>
      <c r="F82" s="4"/>
      <c r="G82" s="4"/>
      <c r="H82" s="4"/>
      <c r="I82" s="4"/>
      <c r="J82" s="4">
        <v>4.5</v>
      </c>
      <c r="K82" s="4"/>
    </row>
    <row r="83" spans="1:11" x14ac:dyDescent="0.2">
      <c r="A83" s="4"/>
      <c r="B83" s="4" t="s">
        <v>185</v>
      </c>
      <c r="C83" s="4" t="s">
        <v>18</v>
      </c>
      <c r="D83" s="4"/>
      <c r="E83" s="4"/>
      <c r="F83" s="4"/>
      <c r="G83" s="4"/>
      <c r="H83" s="4"/>
      <c r="I83" s="4"/>
      <c r="J83" s="4">
        <v>2.5</v>
      </c>
      <c r="K83" s="4"/>
    </row>
    <row r="84" spans="1:11" x14ac:dyDescent="0.2">
      <c r="A84" s="4"/>
      <c r="B84" s="4" t="s">
        <v>186</v>
      </c>
      <c r="C84" s="4" t="s">
        <v>18</v>
      </c>
      <c r="D84" s="4"/>
      <c r="E84" s="4"/>
      <c r="F84" s="4"/>
      <c r="G84" s="4"/>
      <c r="H84" s="4"/>
      <c r="I84" s="4"/>
      <c r="J84" s="4">
        <v>1.5</v>
      </c>
      <c r="K84" s="4"/>
    </row>
    <row r="85" spans="1:11" x14ac:dyDescent="0.2">
      <c r="A85" s="4">
        <v>2011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4"/>
      <c r="B86" s="41" t="s">
        <v>187</v>
      </c>
      <c r="C86" s="42"/>
      <c r="D86" s="43"/>
      <c r="E86" s="4"/>
      <c r="F86" s="4"/>
      <c r="G86" s="4"/>
      <c r="H86" s="4">
        <v>9.8800000000000008</v>
      </c>
      <c r="I86" s="4"/>
      <c r="J86" s="4"/>
      <c r="K86" s="4">
        <v>9.8800000000000008</v>
      </c>
    </row>
    <row r="87" spans="1:11" x14ac:dyDescent="0.2">
      <c r="A87" s="4"/>
      <c r="B87" s="4" t="s">
        <v>188</v>
      </c>
      <c r="C87" s="4" t="s">
        <v>18</v>
      </c>
      <c r="D87" s="4"/>
      <c r="E87" s="4"/>
      <c r="F87" s="4"/>
      <c r="G87" s="4"/>
      <c r="H87" s="4"/>
      <c r="I87" s="4">
        <v>1</v>
      </c>
      <c r="J87" s="4"/>
      <c r="K87" s="4">
        <f>K86-I87</f>
        <v>8.8800000000000008</v>
      </c>
    </row>
    <row r="88" spans="1:11" x14ac:dyDescent="0.2">
      <c r="A88" s="4"/>
      <c r="B88" s="4" t="s">
        <v>189</v>
      </c>
      <c r="C88" s="4" t="s">
        <v>18</v>
      </c>
      <c r="D88" s="4"/>
      <c r="E88" s="4"/>
      <c r="F88" s="4"/>
      <c r="G88" s="4"/>
      <c r="H88" s="4"/>
      <c r="I88" s="4">
        <v>2</v>
      </c>
      <c r="J88" s="4"/>
      <c r="K88" s="4">
        <f>K87-I88</f>
        <v>6.8800000000000008</v>
      </c>
    </row>
    <row r="89" spans="1:11" x14ac:dyDescent="0.2">
      <c r="A89" s="4"/>
      <c r="B89" s="4" t="s">
        <v>190</v>
      </c>
      <c r="C89" s="4" t="s">
        <v>18</v>
      </c>
      <c r="D89" s="4"/>
      <c r="E89" s="4"/>
      <c r="F89" s="4"/>
      <c r="G89" s="4"/>
      <c r="H89" s="4"/>
      <c r="I89" s="4">
        <v>2.5</v>
      </c>
      <c r="J89" s="4"/>
      <c r="K89" s="4">
        <f>K88-I89</f>
        <v>4.3800000000000008</v>
      </c>
    </row>
    <row r="90" spans="1:11" x14ac:dyDescent="0.2">
      <c r="A90" s="4"/>
      <c r="B90" s="4" t="s">
        <v>191</v>
      </c>
      <c r="C90" s="4" t="s">
        <v>18</v>
      </c>
      <c r="D90" s="4"/>
      <c r="E90" s="4"/>
      <c r="F90" s="4"/>
      <c r="G90" s="4"/>
      <c r="H90" s="4"/>
      <c r="I90" s="4">
        <v>2.5</v>
      </c>
      <c r="J90" s="4"/>
      <c r="K90" s="4">
        <f>K89-I90</f>
        <v>1.8800000000000008</v>
      </c>
    </row>
    <row r="91" spans="1:11" x14ac:dyDescent="0.2">
      <c r="A91" s="4">
        <v>2012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">
      <c r="A92" s="4"/>
      <c r="B92" s="4" t="s">
        <v>75</v>
      </c>
      <c r="C92" s="4" t="s">
        <v>18</v>
      </c>
      <c r="D92" s="4"/>
      <c r="E92" s="4"/>
      <c r="F92" s="4"/>
      <c r="G92" s="4"/>
      <c r="H92" s="4"/>
      <c r="I92" s="4">
        <v>1</v>
      </c>
      <c r="J92" s="4"/>
      <c r="K92" s="4">
        <f>K90-I92</f>
        <v>0.88000000000000078</v>
      </c>
    </row>
    <row r="93" spans="1:11" x14ac:dyDescent="0.2">
      <c r="A93" s="4"/>
      <c r="B93" s="4" t="s">
        <v>192</v>
      </c>
      <c r="C93" s="4" t="s">
        <v>18</v>
      </c>
      <c r="D93" s="4"/>
      <c r="E93" s="4"/>
      <c r="F93" s="4"/>
      <c r="G93" s="4"/>
      <c r="H93" s="4"/>
      <c r="I93" s="4"/>
      <c r="J93" s="4">
        <v>1</v>
      </c>
      <c r="K93" s="4"/>
    </row>
    <row r="94" spans="1:11" x14ac:dyDescent="0.2">
      <c r="A94" s="4"/>
      <c r="B94" s="4" t="s">
        <v>193</v>
      </c>
      <c r="C94" s="4" t="s">
        <v>18</v>
      </c>
      <c r="D94" s="4"/>
      <c r="E94" s="4"/>
      <c r="F94" s="4"/>
      <c r="G94" s="4"/>
      <c r="H94" s="4"/>
      <c r="I94" s="4"/>
      <c r="J94" s="4">
        <v>1</v>
      </c>
      <c r="K94" s="4"/>
    </row>
    <row r="95" spans="1:11" x14ac:dyDescent="0.2">
      <c r="A95" s="4">
        <v>2013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">
      <c r="A96" s="4"/>
      <c r="B96" s="4" t="s">
        <v>194</v>
      </c>
      <c r="C96" s="4" t="s">
        <v>18</v>
      </c>
      <c r="D96" s="4"/>
      <c r="E96" s="4"/>
      <c r="F96" s="4"/>
      <c r="G96" s="4"/>
      <c r="H96" s="4"/>
      <c r="I96" s="4"/>
      <c r="J96" s="4"/>
      <c r="K96" s="4">
        <v>0.38</v>
      </c>
    </row>
    <row r="97" spans="1:11" x14ac:dyDescent="0.2">
      <c r="A97" s="4"/>
      <c r="B97" s="4"/>
      <c r="C97" s="44" t="s">
        <v>195</v>
      </c>
      <c r="D97" s="45"/>
      <c r="E97" s="45"/>
      <c r="F97" s="45"/>
      <c r="G97" s="45"/>
      <c r="H97" s="45"/>
      <c r="I97" s="46"/>
      <c r="J97" s="4"/>
      <c r="K97" s="4"/>
    </row>
    <row r="98" spans="1:11" x14ac:dyDescent="0.2">
      <c r="A98" s="4"/>
      <c r="B98" s="4" t="s">
        <v>196</v>
      </c>
      <c r="C98" s="4"/>
      <c r="D98" s="4">
        <v>0.70799999999999996</v>
      </c>
      <c r="E98" s="4"/>
      <c r="F98" s="4"/>
      <c r="G98" s="4">
        <v>0.70799999999999996</v>
      </c>
      <c r="H98" s="4">
        <v>0.70799999999999996</v>
      </c>
      <c r="I98" s="4"/>
      <c r="J98" s="4"/>
      <c r="K98" s="4">
        <f>H98</f>
        <v>0.70799999999999996</v>
      </c>
    </row>
    <row r="99" spans="1:11" x14ac:dyDescent="0.2">
      <c r="A99" s="4"/>
      <c r="B99" s="4" t="s">
        <v>197</v>
      </c>
      <c r="C99" s="4"/>
      <c r="D99" s="4">
        <v>2.5</v>
      </c>
      <c r="E99" s="4"/>
      <c r="F99" s="4"/>
      <c r="G99" s="4">
        <v>3.2080000000000002</v>
      </c>
      <c r="H99" s="4">
        <v>2.5</v>
      </c>
      <c r="I99" s="4"/>
      <c r="J99" s="4"/>
      <c r="K99" s="4">
        <f>K98+H99</f>
        <v>3.2080000000000002</v>
      </c>
    </row>
    <row r="100" spans="1:11" x14ac:dyDescent="0.2">
      <c r="A100" s="4"/>
      <c r="B100" s="38" t="s">
        <v>198</v>
      </c>
      <c r="C100" s="4" t="s">
        <v>18</v>
      </c>
      <c r="D100" s="4"/>
      <c r="E100" s="4"/>
      <c r="F100" s="4"/>
      <c r="G100" s="4"/>
      <c r="H100" s="4"/>
      <c r="I100" s="4">
        <v>1</v>
      </c>
      <c r="J100" s="4"/>
      <c r="K100" s="4">
        <f>K99-I100</f>
        <v>2.2080000000000002</v>
      </c>
    </row>
    <row r="101" spans="1:11" x14ac:dyDescent="0.2">
      <c r="A101" s="4"/>
      <c r="B101" s="4" t="s">
        <v>199</v>
      </c>
      <c r="C101" s="4"/>
      <c r="D101" s="4">
        <v>3.75</v>
      </c>
      <c r="E101" s="4"/>
      <c r="F101" s="4"/>
      <c r="G101" s="4">
        <v>6.9580000000000002</v>
      </c>
      <c r="H101" s="4">
        <v>3.75</v>
      </c>
      <c r="I101" s="4"/>
      <c r="J101" s="4"/>
      <c r="K101" s="4">
        <f>K100+H101</f>
        <v>5.9580000000000002</v>
      </c>
    </row>
    <row r="102" spans="1:11" x14ac:dyDescent="0.2">
      <c r="A102" s="4"/>
      <c r="B102" s="4"/>
      <c r="C102" s="4" t="s">
        <v>17</v>
      </c>
      <c r="D102" s="4"/>
      <c r="E102" s="4">
        <v>2.5</v>
      </c>
      <c r="F102" s="4"/>
      <c r="G102" s="4">
        <f>G101-E102</f>
        <v>4.4580000000000002</v>
      </c>
      <c r="H102" s="4"/>
      <c r="I102" s="4"/>
      <c r="J102" s="4"/>
      <c r="K102" s="4"/>
    </row>
    <row r="103" spans="1:11" x14ac:dyDescent="0.2">
      <c r="A103" s="4">
        <v>2014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">
      <c r="A104" s="4"/>
      <c r="B104" s="4" t="s">
        <v>200</v>
      </c>
      <c r="C104" s="4" t="s">
        <v>18</v>
      </c>
      <c r="D104" s="4"/>
      <c r="E104" s="4"/>
      <c r="F104" s="4"/>
      <c r="G104" s="4"/>
      <c r="H104" s="4"/>
      <c r="I104" s="4"/>
      <c r="J104" s="4"/>
      <c r="K104" s="4"/>
    </row>
    <row r="105" spans="1:11" x14ac:dyDescent="0.2">
      <c r="A105" s="4"/>
      <c r="B105" s="4" t="s">
        <v>32</v>
      </c>
      <c r="C105" s="4"/>
      <c r="D105" s="4">
        <v>1.25</v>
      </c>
      <c r="E105" s="4"/>
      <c r="F105" s="4"/>
      <c r="G105" s="4">
        <f>G102+D105</f>
        <v>5.7080000000000002</v>
      </c>
      <c r="H105" s="4">
        <v>1.25</v>
      </c>
      <c r="I105" s="4"/>
      <c r="J105" s="4"/>
      <c r="K105" s="4">
        <f>K101+H105</f>
        <v>7.2080000000000002</v>
      </c>
    </row>
    <row r="106" spans="1:11" x14ac:dyDescent="0.2">
      <c r="A106" s="4"/>
      <c r="B106" s="16" t="s">
        <v>26</v>
      </c>
      <c r="C106" s="4"/>
      <c r="D106" s="4">
        <v>1.25</v>
      </c>
      <c r="E106" s="4"/>
      <c r="F106" s="4"/>
      <c r="G106" s="4">
        <f>G105+D106</f>
        <v>6.9580000000000002</v>
      </c>
      <c r="H106" s="4">
        <v>1.25</v>
      </c>
      <c r="I106" s="4"/>
      <c r="J106" s="4"/>
      <c r="K106" s="4">
        <f>K105+H106</f>
        <v>8.4580000000000002</v>
      </c>
    </row>
    <row r="107" spans="1:11" x14ac:dyDescent="0.2">
      <c r="A107" s="4"/>
      <c r="B107" s="4" t="s">
        <v>36</v>
      </c>
      <c r="C107" s="4"/>
      <c r="D107" s="4">
        <v>1.25</v>
      </c>
      <c r="E107" s="4"/>
      <c r="F107" s="4"/>
      <c r="G107" s="4">
        <f>G106+D107</f>
        <v>8.2080000000000002</v>
      </c>
      <c r="H107" s="4">
        <v>1.25</v>
      </c>
      <c r="I107" s="4"/>
      <c r="J107" s="4"/>
      <c r="K107" s="4">
        <f>K106+H107</f>
        <v>9.7080000000000002</v>
      </c>
    </row>
    <row r="108" spans="1:11" x14ac:dyDescent="0.2">
      <c r="A108" s="4"/>
      <c r="B108" s="4" t="s">
        <v>201</v>
      </c>
      <c r="C108" s="4" t="s">
        <v>17</v>
      </c>
      <c r="D108" s="4"/>
      <c r="E108" s="4">
        <v>3</v>
      </c>
      <c r="F108" s="4"/>
      <c r="G108" s="4">
        <f>G107-E108</f>
        <v>5.2080000000000002</v>
      </c>
      <c r="H108" s="4"/>
      <c r="I108" s="4"/>
      <c r="J108" s="4"/>
      <c r="K108" s="4"/>
    </row>
    <row r="109" spans="1:11" x14ac:dyDescent="0.2">
      <c r="A109" s="4"/>
      <c r="B109" s="4" t="s">
        <v>202</v>
      </c>
      <c r="C109" s="4" t="s">
        <v>17</v>
      </c>
      <c r="D109" s="4"/>
      <c r="E109" s="4">
        <v>2</v>
      </c>
      <c r="F109" s="4"/>
      <c r="G109" s="4">
        <f>G108-E109</f>
        <v>3.2080000000000002</v>
      </c>
      <c r="H109" s="4"/>
      <c r="I109" s="4"/>
      <c r="J109" s="4"/>
      <c r="K109" s="4"/>
    </row>
    <row r="110" spans="1:11" x14ac:dyDescent="0.2">
      <c r="A110" s="4"/>
      <c r="B110" s="4" t="s">
        <v>19</v>
      </c>
      <c r="C110" s="4"/>
      <c r="D110" s="4">
        <v>1.25</v>
      </c>
      <c r="E110" s="4"/>
      <c r="F110" s="4"/>
      <c r="G110" s="4">
        <f>G109+D110</f>
        <v>4.4580000000000002</v>
      </c>
      <c r="H110" s="4">
        <v>1.25</v>
      </c>
      <c r="I110" s="4"/>
      <c r="J110" s="4"/>
      <c r="K110" s="4">
        <f>K107+H110</f>
        <v>10.958</v>
      </c>
    </row>
    <row r="111" spans="1:11" x14ac:dyDescent="0.2">
      <c r="A111" s="4"/>
      <c r="B111" s="4" t="s">
        <v>24</v>
      </c>
      <c r="C111" s="4"/>
      <c r="D111" s="4">
        <v>1.25</v>
      </c>
      <c r="E111" s="4"/>
      <c r="F111" s="4"/>
      <c r="G111" s="4">
        <f>G110+D111</f>
        <v>5.7080000000000002</v>
      </c>
      <c r="H111" s="4">
        <v>1.25</v>
      </c>
      <c r="I111" s="4"/>
      <c r="J111" s="4"/>
      <c r="K111" s="4">
        <f>K110+H111</f>
        <v>12.208</v>
      </c>
    </row>
    <row r="112" spans="1:11" x14ac:dyDescent="0.2">
      <c r="A112" s="4"/>
      <c r="B112" s="4" t="s">
        <v>203</v>
      </c>
      <c r="C112" s="4"/>
      <c r="D112" s="4">
        <v>1.25</v>
      </c>
      <c r="E112" s="4"/>
      <c r="F112" s="4"/>
      <c r="G112" s="4">
        <f>G111+D112</f>
        <v>6.9580000000000002</v>
      </c>
      <c r="H112" s="4">
        <v>1.25</v>
      </c>
      <c r="I112" s="4"/>
      <c r="J112" s="4"/>
      <c r="K112" s="4">
        <f>K111+H112</f>
        <v>13.458</v>
      </c>
    </row>
    <row r="113" spans="1:11" x14ac:dyDescent="0.2">
      <c r="A113" s="4"/>
      <c r="B113" s="4" t="s">
        <v>34</v>
      </c>
      <c r="C113" s="4"/>
      <c r="D113" s="4">
        <v>1.25</v>
      </c>
      <c r="E113" s="4"/>
      <c r="F113" s="4"/>
      <c r="G113" s="4">
        <f>G112+D113</f>
        <v>8.2080000000000002</v>
      </c>
      <c r="H113" s="4">
        <v>1.25</v>
      </c>
      <c r="I113" s="4"/>
      <c r="J113" s="4"/>
      <c r="K113" s="4">
        <f>K112+H113</f>
        <v>14.708</v>
      </c>
    </row>
    <row r="114" spans="1:11" x14ac:dyDescent="0.2">
      <c r="A114" s="4"/>
      <c r="B114" s="4" t="s">
        <v>204</v>
      </c>
      <c r="C114" s="4" t="s">
        <v>18</v>
      </c>
      <c r="D114" s="4"/>
      <c r="E114" s="4"/>
      <c r="F114" s="4"/>
      <c r="G114" s="4"/>
      <c r="H114" s="4"/>
      <c r="I114" s="4">
        <v>6</v>
      </c>
      <c r="J114" s="4"/>
      <c r="K114" s="4">
        <f>K113-I114</f>
        <v>8.7080000000000002</v>
      </c>
    </row>
    <row r="115" spans="1:11" x14ac:dyDescent="0.2">
      <c r="A115" s="4"/>
      <c r="B115" s="4" t="s">
        <v>25</v>
      </c>
      <c r="C115" s="4"/>
      <c r="D115" s="4">
        <v>1.25</v>
      </c>
      <c r="E115" s="4"/>
      <c r="F115" s="4"/>
      <c r="G115" s="4">
        <f>G113+D115</f>
        <v>9.4580000000000002</v>
      </c>
      <c r="H115" s="4">
        <v>1.25</v>
      </c>
      <c r="I115" s="4"/>
      <c r="J115" s="4"/>
      <c r="K115" s="4">
        <f>K114+H115</f>
        <v>9.9580000000000002</v>
      </c>
    </row>
    <row r="116" spans="1:11" x14ac:dyDescent="0.2">
      <c r="A116" s="4"/>
      <c r="B116" s="4" t="s">
        <v>21</v>
      </c>
      <c r="C116" s="4"/>
      <c r="D116" s="4">
        <v>1.25</v>
      </c>
      <c r="E116" s="4"/>
      <c r="F116" s="4"/>
      <c r="G116" s="4">
        <f>G115+D116</f>
        <v>10.708</v>
      </c>
      <c r="H116" s="4">
        <v>1.25</v>
      </c>
      <c r="I116" s="4"/>
      <c r="J116" s="4"/>
      <c r="K116" s="4">
        <f>K115+H116</f>
        <v>11.208</v>
      </c>
    </row>
    <row r="117" spans="1:11" x14ac:dyDescent="0.2">
      <c r="A117" s="4"/>
      <c r="B117" s="4" t="s">
        <v>33</v>
      </c>
      <c r="C117" s="4"/>
      <c r="D117" s="4">
        <v>1.25</v>
      </c>
      <c r="E117" s="4"/>
      <c r="F117" s="4"/>
      <c r="G117" s="4">
        <f>G116+D117</f>
        <v>11.958</v>
      </c>
      <c r="H117" s="4">
        <v>1.25</v>
      </c>
      <c r="I117" s="4"/>
      <c r="J117" s="4"/>
      <c r="K117" s="4">
        <f>K116+H117</f>
        <v>12.458</v>
      </c>
    </row>
    <row r="118" spans="1:11" x14ac:dyDescent="0.2">
      <c r="A118" s="4"/>
      <c r="B118" s="4" t="s">
        <v>22</v>
      </c>
      <c r="C118" s="4"/>
      <c r="D118" s="4">
        <v>1.25</v>
      </c>
      <c r="E118" s="4"/>
      <c r="F118" s="4"/>
      <c r="G118" s="4">
        <f>G117+D118</f>
        <v>13.208</v>
      </c>
      <c r="H118" s="4">
        <v>1.25</v>
      </c>
      <c r="I118" s="4"/>
      <c r="J118" s="4"/>
      <c r="K118" s="4">
        <f>K117+H118</f>
        <v>13.708</v>
      </c>
    </row>
    <row r="119" spans="1:11" x14ac:dyDescent="0.2">
      <c r="A119" s="4"/>
      <c r="B119" s="4" t="s">
        <v>28</v>
      </c>
      <c r="C119" s="4"/>
      <c r="D119" s="4">
        <v>1.25</v>
      </c>
      <c r="E119" s="4"/>
      <c r="F119" s="4"/>
      <c r="G119" s="4">
        <v>10.708</v>
      </c>
      <c r="H119" s="4">
        <v>1.25</v>
      </c>
      <c r="I119" s="4"/>
      <c r="J119" s="4"/>
      <c r="K119" s="4">
        <f>K118+H119</f>
        <v>14.958</v>
      </c>
    </row>
    <row r="120" spans="1:11" x14ac:dyDescent="0.2">
      <c r="A120" s="4"/>
      <c r="B120" s="4"/>
      <c r="C120" s="4" t="s">
        <v>23</v>
      </c>
      <c r="D120" s="4"/>
      <c r="E120" s="4">
        <v>5</v>
      </c>
      <c r="F120" s="4"/>
      <c r="G120" s="4">
        <f>G119-E120</f>
        <v>5.7080000000000002</v>
      </c>
      <c r="H120" s="4"/>
      <c r="I120" s="4"/>
      <c r="J120" s="4"/>
      <c r="K120" s="4"/>
    </row>
    <row r="121" spans="1:1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">
      <c r="A122" s="4"/>
      <c r="B122" s="16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31" spans="1:11" ht="26.25" x14ac:dyDescent="0.2">
      <c r="A131" s="56" t="s">
        <v>0</v>
      </c>
      <c r="B131" s="56"/>
      <c r="C131" s="56"/>
      <c r="D131" s="56"/>
      <c r="E131" s="56"/>
      <c r="F131" s="56"/>
      <c r="G131" s="56"/>
      <c r="H131" s="56"/>
      <c r="I131" s="56"/>
      <c r="J131" s="56"/>
      <c r="K131" s="56"/>
    </row>
    <row r="132" spans="1:11" x14ac:dyDescent="0.2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 x14ac:dyDescent="0.25">
      <c r="A133" s="7" t="s">
        <v>1</v>
      </c>
      <c r="B133" s="58" t="s">
        <v>40</v>
      </c>
      <c r="C133" s="58"/>
      <c r="D133" s="58" t="s">
        <v>41</v>
      </c>
      <c r="E133" s="58"/>
      <c r="F133" s="21"/>
      <c r="G133" s="9" t="s">
        <v>2</v>
      </c>
      <c r="H133" s="58"/>
      <c r="I133" s="58"/>
      <c r="J133" s="58"/>
      <c r="K133" s="58"/>
    </row>
    <row r="134" spans="1:11" ht="15" x14ac:dyDescent="0.25">
      <c r="A134" s="7"/>
      <c r="B134" s="53" t="s">
        <v>3</v>
      </c>
      <c r="C134" s="53"/>
      <c r="D134" s="53" t="s">
        <v>4</v>
      </c>
      <c r="E134" s="53"/>
      <c r="F134" s="10" t="s">
        <v>5</v>
      </c>
      <c r="G134" s="9"/>
      <c r="H134" s="9"/>
      <c r="I134" s="9"/>
      <c r="J134" s="9"/>
      <c r="K134" s="9"/>
    </row>
    <row r="135" spans="1:11" ht="15.75" thickBot="1" x14ac:dyDescent="0.25">
      <c r="A135" s="11" t="s">
        <v>6</v>
      </c>
      <c r="B135" s="12"/>
      <c r="C135" s="12"/>
      <c r="D135" s="62"/>
      <c r="E135" s="62"/>
      <c r="F135" s="62"/>
      <c r="G135" s="10"/>
      <c r="H135" s="10"/>
      <c r="I135" s="10"/>
      <c r="J135" s="10"/>
      <c r="K135" s="10"/>
    </row>
    <row r="136" spans="1:11" ht="15.75" thickBot="1" x14ac:dyDescent="0.25">
      <c r="A136" s="63" t="s">
        <v>7</v>
      </c>
      <c r="B136" s="60"/>
      <c r="C136" s="64"/>
      <c r="D136" s="59" t="s">
        <v>8</v>
      </c>
      <c r="E136" s="60"/>
      <c r="F136" s="60"/>
      <c r="G136" s="64"/>
      <c r="H136" s="59" t="s">
        <v>9</v>
      </c>
      <c r="I136" s="60"/>
      <c r="J136" s="60"/>
      <c r="K136" s="61"/>
    </row>
    <row r="137" spans="1:11" ht="60" x14ac:dyDescent="0.2">
      <c r="A137" s="13" t="s">
        <v>10</v>
      </c>
      <c r="B137" s="14" t="s">
        <v>11</v>
      </c>
      <c r="C137" s="14" t="s">
        <v>12</v>
      </c>
      <c r="D137" s="14" t="s">
        <v>13</v>
      </c>
      <c r="E137" s="14" t="s">
        <v>14</v>
      </c>
      <c r="F137" s="14" t="s">
        <v>15</v>
      </c>
      <c r="G137" s="14" t="s">
        <v>16</v>
      </c>
      <c r="H137" s="14" t="s">
        <v>13</v>
      </c>
      <c r="I137" s="14" t="s">
        <v>14</v>
      </c>
      <c r="J137" s="14" t="s">
        <v>15</v>
      </c>
      <c r="K137" s="14" t="s">
        <v>16</v>
      </c>
    </row>
    <row r="138" spans="1:11" x14ac:dyDescent="0.2">
      <c r="A138" s="4"/>
      <c r="B138" s="4"/>
      <c r="C138" s="44" t="s">
        <v>27</v>
      </c>
      <c r="D138" s="45"/>
      <c r="E138" s="46"/>
      <c r="F138" s="4"/>
      <c r="G138" s="19">
        <f>G124</f>
        <v>0</v>
      </c>
      <c r="H138" s="4"/>
      <c r="I138" s="4"/>
      <c r="J138" s="4"/>
      <c r="K138" s="19">
        <f>K123</f>
        <v>0</v>
      </c>
    </row>
    <row r="139" spans="1:1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">
      <c r="A171" s="4"/>
      <c r="B171" s="16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x14ac:dyDescent="0.2">
      <c r="A187" s="4"/>
      <c r="B187" s="16"/>
      <c r="C187" s="4"/>
      <c r="D187" s="4"/>
      <c r="E187" s="4"/>
      <c r="F187" s="4"/>
      <c r="G187" s="4"/>
      <c r="H187" s="4"/>
      <c r="I187" s="4"/>
      <c r="J187" s="4"/>
      <c r="K187" s="4"/>
    </row>
    <row r="188" spans="1:1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8" spans="1:11" ht="26.25" x14ac:dyDescent="0.2">
      <c r="A198" s="56" t="s">
        <v>0</v>
      </c>
      <c r="B198" s="57"/>
      <c r="C198" s="57"/>
      <c r="D198" s="57"/>
      <c r="E198" s="57"/>
      <c r="F198" s="57"/>
      <c r="G198" s="57"/>
      <c r="H198" s="57"/>
      <c r="I198" s="57"/>
      <c r="J198" s="57"/>
      <c r="K198" s="57"/>
    </row>
    <row r="199" spans="1:11" x14ac:dyDescent="0.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 x14ac:dyDescent="0.25">
      <c r="A200" s="7" t="s">
        <v>1</v>
      </c>
      <c r="B200" s="58" t="s">
        <v>46</v>
      </c>
      <c r="C200" s="58"/>
      <c r="D200" s="58"/>
      <c r="E200" s="58"/>
      <c r="F200" s="8"/>
      <c r="G200" s="9" t="s">
        <v>2</v>
      </c>
      <c r="H200" s="58"/>
      <c r="I200" s="58"/>
      <c r="J200" s="58"/>
      <c r="K200" s="58"/>
    </row>
    <row r="201" spans="1:11" ht="15" x14ac:dyDescent="0.25">
      <c r="A201" s="7"/>
      <c r="B201" s="53" t="s">
        <v>3</v>
      </c>
      <c r="C201" s="53"/>
      <c r="D201" s="53" t="s">
        <v>8</v>
      </c>
      <c r="E201" s="53"/>
      <c r="F201" s="10" t="s">
        <v>5</v>
      </c>
      <c r="G201" s="9"/>
      <c r="H201" s="9"/>
      <c r="I201" s="9"/>
      <c r="J201" s="9"/>
      <c r="K201" s="9"/>
    </row>
    <row r="202" spans="1:11" ht="15.75" thickBot="1" x14ac:dyDescent="0.25">
      <c r="A202" s="11" t="s">
        <v>6</v>
      </c>
      <c r="B202" s="12"/>
      <c r="C202" s="12"/>
      <c r="D202" s="54"/>
      <c r="E202" s="54"/>
      <c r="F202" s="54"/>
      <c r="G202" s="10"/>
      <c r="H202" s="10"/>
      <c r="I202" s="10"/>
      <c r="J202" s="10"/>
      <c r="K202" s="10"/>
    </row>
    <row r="203" spans="1:11" ht="15.75" thickBot="1" x14ac:dyDescent="0.25">
      <c r="A203" s="55" t="s">
        <v>7</v>
      </c>
      <c r="B203" s="51"/>
      <c r="C203" s="51"/>
      <c r="D203" s="51" t="s">
        <v>8</v>
      </c>
      <c r="E203" s="51"/>
      <c r="F203" s="51"/>
      <c r="G203" s="51"/>
      <c r="H203" s="51" t="s">
        <v>9</v>
      </c>
      <c r="I203" s="51"/>
      <c r="J203" s="51"/>
      <c r="K203" s="52"/>
    </row>
    <row r="204" spans="1:11" ht="60" x14ac:dyDescent="0.2">
      <c r="A204" s="13" t="s">
        <v>10</v>
      </c>
      <c r="B204" s="14" t="s">
        <v>11</v>
      </c>
      <c r="C204" s="14" t="s">
        <v>12</v>
      </c>
      <c r="D204" s="14" t="s">
        <v>13</v>
      </c>
      <c r="E204" s="14" t="s">
        <v>14</v>
      </c>
      <c r="F204" s="14" t="s">
        <v>15</v>
      </c>
      <c r="G204" s="14" t="s">
        <v>16</v>
      </c>
      <c r="H204" s="14" t="s">
        <v>13</v>
      </c>
      <c r="I204" s="14" t="s">
        <v>14</v>
      </c>
      <c r="J204" s="14" t="s">
        <v>15</v>
      </c>
      <c r="K204" s="14" t="s">
        <v>16</v>
      </c>
    </row>
    <row r="205" spans="1:11" x14ac:dyDescent="0.2">
      <c r="A205" s="4"/>
      <c r="B205" s="4"/>
      <c r="C205" s="44" t="s">
        <v>27</v>
      </c>
      <c r="D205" s="45"/>
      <c r="E205" s="46"/>
      <c r="F205" s="4"/>
      <c r="G205" s="19">
        <f>G186</f>
        <v>0</v>
      </c>
      <c r="H205" s="4"/>
      <c r="I205" s="4"/>
      <c r="J205" s="4"/>
      <c r="K205" s="23">
        <f>K186</f>
        <v>0</v>
      </c>
    </row>
    <row r="206" spans="1:11" x14ac:dyDescent="0.2">
      <c r="A206" s="24" t="s">
        <v>59</v>
      </c>
      <c r="B206" s="4" t="s">
        <v>28</v>
      </c>
      <c r="C206" s="4"/>
      <c r="D206" s="4">
        <v>1.25</v>
      </c>
      <c r="E206" s="4"/>
      <c r="F206" s="4"/>
      <c r="G206" s="18">
        <f>G205+D206</f>
        <v>1.25</v>
      </c>
      <c r="H206" s="4"/>
      <c r="I206" s="4"/>
      <c r="J206" s="4"/>
      <c r="K206" s="4"/>
    </row>
    <row r="207" spans="1:11" x14ac:dyDescent="0.2">
      <c r="A207" s="24"/>
      <c r="B207" s="4"/>
      <c r="C207" s="4" t="s">
        <v>23</v>
      </c>
      <c r="D207" s="4"/>
      <c r="E207" s="4">
        <v>3</v>
      </c>
      <c r="F207" s="4"/>
      <c r="G207" s="18">
        <f>G206-E207</f>
        <v>-1.75</v>
      </c>
      <c r="H207" s="4"/>
      <c r="I207" s="4"/>
      <c r="J207" s="4"/>
      <c r="K207" s="4"/>
    </row>
    <row r="208" spans="1:11" x14ac:dyDescent="0.2">
      <c r="A208" s="24"/>
      <c r="B208" s="4" t="s">
        <v>55</v>
      </c>
      <c r="C208" s="4" t="s">
        <v>23</v>
      </c>
      <c r="D208" s="4"/>
      <c r="E208" s="4">
        <v>27</v>
      </c>
      <c r="F208" s="4"/>
      <c r="G208" s="18">
        <f>G207-E208</f>
        <v>-28.75</v>
      </c>
      <c r="H208" s="4"/>
      <c r="I208" s="4"/>
      <c r="J208" s="4"/>
      <c r="K208" s="4"/>
    </row>
    <row r="209" spans="1:11" x14ac:dyDescent="0.2">
      <c r="A209" s="4">
        <v>2014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x14ac:dyDescent="0.2">
      <c r="A210" s="4"/>
      <c r="B210" s="4" t="s">
        <v>32</v>
      </c>
      <c r="C210" s="4"/>
      <c r="D210" s="4">
        <v>1.25</v>
      </c>
      <c r="E210" s="4"/>
      <c r="F210" s="4"/>
      <c r="G210" s="18">
        <f>G208+D210</f>
        <v>-27.5</v>
      </c>
      <c r="H210" s="4">
        <v>1.25</v>
      </c>
      <c r="I210" s="4"/>
      <c r="J210" s="4"/>
      <c r="K210" s="23">
        <f>K205+H210</f>
        <v>1.25</v>
      </c>
    </row>
    <row r="211" spans="1:11" x14ac:dyDescent="0.2">
      <c r="A211" s="4"/>
      <c r="B211" s="4" t="s">
        <v>26</v>
      </c>
      <c r="C211" s="4"/>
      <c r="D211" s="4">
        <v>1.25</v>
      </c>
      <c r="E211" s="4"/>
      <c r="F211" s="4"/>
      <c r="G211" s="18">
        <f>G210+D211</f>
        <v>-26.25</v>
      </c>
      <c r="H211" s="4">
        <v>1.25</v>
      </c>
      <c r="I211" s="4"/>
      <c r="J211" s="4"/>
      <c r="K211" s="23">
        <f>K210+H211</f>
        <v>2.5</v>
      </c>
    </row>
    <row r="212" spans="1:11" x14ac:dyDescent="0.2">
      <c r="A212" s="4"/>
      <c r="B212" s="4" t="s">
        <v>36</v>
      </c>
      <c r="C212" s="4"/>
      <c r="D212" s="4">
        <v>1.25</v>
      </c>
      <c r="E212" s="4"/>
      <c r="F212" s="4"/>
      <c r="G212" s="18">
        <f>G211+D212</f>
        <v>-25</v>
      </c>
      <c r="H212" s="4">
        <v>1.25</v>
      </c>
      <c r="I212" s="4"/>
      <c r="J212" s="4"/>
      <c r="K212" s="23">
        <f>K211+H212</f>
        <v>3.75</v>
      </c>
    </row>
    <row r="213" spans="1:11" x14ac:dyDescent="0.2">
      <c r="A213" s="4"/>
      <c r="B213" s="4" t="s">
        <v>60</v>
      </c>
      <c r="C213" s="4" t="s">
        <v>17</v>
      </c>
      <c r="D213" s="4"/>
      <c r="E213" s="4">
        <v>1</v>
      </c>
      <c r="F213" s="4"/>
      <c r="G213" s="18">
        <f>G212-E213</f>
        <v>-26</v>
      </c>
      <c r="H213" s="4"/>
      <c r="I213" s="4"/>
      <c r="J213" s="4"/>
      <c r="K213" s="4"/>
    </row>
    <row r="214" spans="1:11" x14ac:dyDescent="0.2">
      <c r="A214" s="4"/>
      <c r="B214" s="4" t="s">
        <v>56</v>
      </c>
      <c r="C214" s="4"/>
      <c r="D214" s="4">
        <v>1.25</v>
      </c>
      <c r="E214" s="4"/>
      <c r="F214" s="4"/>
      <c r="G214" s="18">
        <f>G213+D214</f>
        <v>-24.75</v>
      </c>
      <c r="H214" s="4">
        <v>1.25</v>
      </c>
      <c r="I214" s="4"/>
      <c r="J214" s="4"/>
      <c r="K214" s="23">
        <f>K212+H214</f>
        <v>5</v>
      </c>
    </row>
    <row r="215" spans="1:11" x14ac:dyDescent="0.2">
      <c r="A215" s="4"/>
      <c r="B215" s="4" t="s">
        <v>24</v>
      </c>
      <c r="C215" s="4"/>
      <c r="D215" s="4">
        <v>1.25</v>
      </c>
      <c r="E215" s="4"/>
      <c r="F215" s="4"/>
      <c r="G215" s="18">
        <f>G214+D215</f>
        <v>-23.5</v>
      </c>
      <c r="H215" s="4">
        <v>1.25</v>
      </c>
      <c r="I215" s="4"/>
      <c r="J215" s="4"/>
      <c r="K215" s="23">
        <f>K214+H215</f>
        <v>6.25</v>
      </c>
    </row>
    <row r="216" spans="1:11" x14ac:dyDescent="0.2">
      <c r="A216" s="4"/>
      <c r="B216" s="4" t="s">
        <v>61</v>
      </c>
      <c r="C216" s="4" t="s">
        <v>17</v>
      </c>
      <c r="D216" s="4"/>
      <c r="E216" s="4">
        <v>1</v>
      </c>
      <c r="F216" s="4"/>
      <c r="G216" s="18">
        <f>G215-E216</f>
        <v>-24.5</v>
      </c>
      <c r="H216" s="4"/>
      <c r="I216" s="4"/>
      <c r="J216" s="4"/>
      <c r="K216" s="4"/>
    </row>
    <row r="217" spans="1:11" x14ac:dyDescent="0.2">
      <c r="A217" s="4"/>
      <c r="B217" s="4" t="s">
        <v>29</v>
      </c>
      <c r="C217" s="4"/>
      <c r="D217" s="4">
        <v>1.25</v>
      </c>
      <c r="E217" s="4"/>
      <c r="F217" s="4"/>
      <c r="G217" s="18">
        <f>G216+D217</f>
        <v>-23.25</v>
      </c>
      <c r="H217" s="4">
        <v>1.25</v>
      </c>
      <c r="I217" s="4"/>
      <c r="J217" s="4"/>
      <c r="K217" s="23">
        <f>K215+H217</f>
        <v>7.5</v>
      </c>
    </row>
    <row r="218" spans="1:11" x14ac:dyDescent="0.2">
      <c r="A218" s="4"/>
      <c r="B218" s="4" t="s">
        <v>62</v>
      </c>
      <c r="C218" s="4" t="s">
        <v>17</v>
      </c>
      <c r="D218" s="4"/>
      <c r="E218" s="4">
        <v>1</v>
      </c>
      <c r="F218" s="4"/>
      <c r="G218" s="18">
        <f>G217-E218</f>
        <v>-24.25</v>
      </c>
      <c r="H218" s="4"/>
      <c r="I218" s="4"/>
      <c r="J218" s="4"/>
      <c r="K218" s="4"/>
    </row>
    <row r="219" spans="1:11" x14ac:dyDescent="0.2">
      <c r="A219" s="4"/>
      <c r="B219" s="4" t="s">
        <v>42</v>
      </c>
      <c r="C219" s="4"/>
      <c r="D219" s="4">
        <v>1.25</v>
      </c>
      <c r="E219" s="4"/>
      <c r="F219" s="4"/>
      <c r="G219" s="18">
        <f>G218+D219</f>
        <v>-23</v>
      </c>
      <c r="H219" s="4">
        <v>1.25</v>
      </c>
      <c r="I219" s="4"/>
      <c r="J219" s="4"/>
      <c r="K219" s="23">
        <f>K217+H219</f>
        <v>8.75</v>
      </c>
    </row>
    <row r="220" spans="1:11" x14ac:dyDescent="0.2">
      <c r="A220" s="4"/>
      <c r="B220" s="4" t="s">
        <v>25</v>
      </c>
      <c r="C220" s="4"/>
      <c r="D220" s="4">
        <v>1.25</v>
      </c>
      <c r="E220" s="4"/>
      <c r="F220" s="4"/>
      <c r="G220" s="18">
        <f>G219+D220</f>
        <v>-21.75</v>
      </c>
      <c r="H220" s="4">
        <v>1.25</v>
      </c>
      <c r="I220" s="4"/>
      <c r="J220" s="4"/>
      <c r="K220" s="23">
        <f>K219+H220</f>
        <v>10</v>
      </c>
    </row>
    <row r="221" spans="1:11" x14ac:dyDescent="0.2">
      <c r="A221" s="4"/>
      <c r="B221" s="4" t="s">
        <v>21</v>
      </c>
      <c r="C221" s="4"/>
      <c r="D221" s="4">
        <v>1.25</v>
      </c>
      <c r="E221" s="4"/>
      <c r="F221" s="4"/>
      <c r="G221" s="18">
        <f>G220+D221</f>
        <v>-20.5</v>
      </c>
      <c r="H221" s="4">
        <v>1.25</v>
      </c>
      <c r="I221" s="4"/>
      <c r="J221" s="4"/>
      <c r="K221" s="23">
        <f>K220+H221</f>
        <v>11.25</v>
      </c>
    </row>
    <row r="222" spans="1:11" x14ac:dyDescent="0.2">
      <c r="A222" s="4"/>
      <c r="B222" s="4" t="s">
        <v>63</v>
      </c>
      <c r="C222" s="4" t="s">
        <v>64</v>
      </c>
      <c r="D222" s="4"/>
      <c r="E222" s="4"/>
      <c r="F222" s="4"/>
      <c r="G222" s="4"/>
      <c r="H222" s="4"/>
      <c r="I222" s="4"/>
      <c r="J222" s="4"/>
      <c r="K222" s="4"/>
    </row>
    <row r="223" spans="1:11" x14ac:dyDescent="0.2">
      <c r="A223" s="4"/>
      <c r="B223" s="4" t="s">
        <v>57</v>
      </c>
      <c r="C223" s="4"/>
      <c r="D223" s="4">
        <v>1.25</v>
      </c>
      <c r="E223" s="4"/>
      <c r="F223" s="4"/>
      <c r="G223" s="18">
        <f>G221+D223</f>
        <v>-19.25</v>
      </c>
      <c r="H223" s="4">
        <v>1.25</v>
      </c>
      <c r="I223" s="4"/>
      <c r="J223" s="4"/>
      <c r="K223" s="23">
        <f>K221+H223</f>
        <v>12.5</v>
      </c>
    </row>
    <row r="224" spans="1:11" x14ac:dyDescent="0.2">
      <c r="A224" s="4"/>
      <c r="B224" s="4" t="s">
        <v>44</v>
      </c>
      <c r="C224" s="4"/>
      <c r="D224" s="4">
        <v>1.25</v>
      </c>
      <c r="E224" s="4"/>
      <c r="F224" s="4"/>
      <c r="G224" s="18">
        <f>G223+D224</f>
        <v>-18</v>
      </c>
      <c r="H224" s="4">
        <v>1.25</v>
      </c>
      <c r="I224" s="4"/>
      <c r="J224" s="4"/>
      <c r="K224" s="23">
        <f>K223+H224</f>
        <v>13.75</v>
      </c>
    </row>
    <row r="225" spans="1:11" x14ac:dyDescent="0.2">
      <c r="A225" s="4"/>
      <c r="B225" s="4" t="s">
        <v>65</v>
      </c>
      <c r="C225" s="4" t="s">
        <v>66</v>
      </c>
      <c r="D225" s="4"/>
      <c r="E225" s="4">
        <v>0.5</v>
      </c>
      <c r="F225" s="4"/>
      <c r="G225" s="18">
        <f>G224-E225</f>
        <v>-18.5</v>
      </c>
      <c r="H225" s="4"/>
      <c r="I225" s="4"/>
      <c r="J225" s="4"/>
      <c r="K225" s="4"/>
    </row>
    <row r="226" spans="1:11" x14ac:dyDescent="0.2">
      <c r="A226" s="4"/>
      <c r="B226" s="4" t="s">
        <v>28</v>
      </c>
      <c r="C226" s="4"/>
      <c r="D226" s="4">
        <v>1.25</v>
      </c>
      <c r="E226" s="4"/>
      <c r="F226" s="4"/>
      <c r="G226" s="18">
        <f>G225+D226</f>
        <v>-17.25</v>
      </c>
      <c r="H226" s="4">
        <v>1.25</v>
      </c>
      <c r="I226" s="4"/>
      <c r="J226" s="4"/>
      <c r="K226" s="23">
        <f>K224+H226</f>
        <v>15</v>
      </c>
    </row>
    <row r="227" spans="1:11" x14ac:dyDescent="0.2">
      <c r="A227" s="4"/>
      <c r="B227" s="4"/>
      <c r="C227" s="4" t="s">
        <v>23</v>
      </c>
      <c r="D227" s="4"/>
      <c r="E227" s="4">
        <v>13</v>
      </c>
      <c r="F227" s="4"/>
      <c r="G227" s="18">
        <f>G226-E227</f>
        <v>-30.25</v>
      </c>
      <c r="H227" s="4"/>
      <c r="I227" s="4"/>
      <c r="J227" s="4"/>
      <c r="K227" s="4"/>
    </row>
    <row r="228" spans="1:11" x14ac:dyDescent="0.2">
      <c r="A228" s="4">
        <v>2015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x14ac:dyDescent="0.2">
      <c r="A229" s="4"/>
      <c r="B229" s="4" t="s">
        <v>32</v>
      </c>
      <c r="C229" s="4"/>
      <c r="D229" s="4">
        <v>1.25</v>
      </c>
      <c r="E229" s="4"/>
      <c r="F229" s="4"/>
      <c r="G229" s="18">
        <f>G227+D229</f>
        <v>-29</v>
      </c>
      <c r="H229" s="4">
        <v>1.25</v>
      </c>
      <c r="I229" s="4"/>
      <c r="J229" s="4"/>
      <c r="K229" s="23">
        <f>K226+H229</f>
        <v>16.25</v>
      </c>
    </row>
    <row r="230" spans="1:11" x14ac:dyDescent="0.2">
      <c r="A230" s="4"/>
      <c r="B230" s="4" t="s">
        <v>26</v>
      </c>
      <c r="C230" s="4"/>
      <c r="D230" s="4">
        <v>1.25</v>
      </c>
      <c r="E230" s="4"/>
      <c r="F230" s="4"/>
      <c r="G230" s="18">
        <f>G229+D230</f>
        <v>-27.75</v>
      </c>
      <c r="H230" s="4">
        <v>1.25</v>
      </c>
      <c r="I230" s="4"/>
      <c r="J230" s="4"/>
      <c r="K230" s="23">
        <f>K229+H230</f>
        <v>17.5</v>
      </c>
    </row>
    <row r="231" spans="1:11" x14ac:dyDescent="0.2">
      <c r="A231" s="4"/>
      <c r="B231" s="2" t="s">
        <v>43</v>
      </c>
      <c r="C231" s="2" t="s">
        <v>30</v>
      </c>
      <c r="D231" s="4"/>
      <c r="E231" s="4">
        <v>0.5</v>
      </c>
      <c r="F231" s="4"/>
      <c r="G231" s="18">
        <f>G230-E231</f>
        <v>-28.25</v>
      </c>
      <c r="H231" s="4"/>
      <c r="I231" s="4"/>
      <c r="J231" s="4"/>
      <c r="K231" s="4"/>
    </row>
    <row r="232" spans="1:11" x14ac:dyDescent="0.2">
      <c r="A232" s="4"/>
      <c r="B232" s="4" t="s">
        <v>36</v>
      </c>
      <c r="C232" s="4"/>
      <c r="D232" s="4">
        <v>1.25</v>
      </c>
      <c r="E232" s="4"/>
      <c r="F232" s="4"/>
      <c r="G232" s="18">
        <f>G231+D232</f>
        <v>-27</v>
      </c>
      <c r="H232" s="4">
        <v>1.25</v>
      </c>
      <c r="I232" s="4"/>
      <c r="J232" s="4"/>
      <c r="K232" s="23">
        <f>K230+H232</f>
        <v>18.75</v>
      </c>
    </row>
    <row r="233" spans="1:11" x14ac:dyDescent="0.2">
      <c r="A233" s="4"/>
      <c r="B233" s="4" t="s">
        <v>19</v>
      </c>
      <c r="C233" s="4"/>
      <c r="D233" s="4">
        <v>1.25</v>
      </c>
      <c r="E233" s="4"/>
      <c r="F233" s="4"/>
      <c r="G233" s="18">
        <f>G232+D233</f>
        <v>-25.75</v>
      </c>
      <c r="H233" s="4">
        <v>1.25</v>
      </c>
      <c r="I233" s="4"/>
      <c r="J233" s="4"/>
      <c r="K233" s="23">
        <f>K232+H233</f>
        <v>20</v>
      </c>
    </row>
    <row r="234" spans="1:11" x14ac:dyDescent="0.2">
      <c r="A234" s="4"/>
      <c r="B234" s="4" t="s">
        <v>24</v>
      </c>
      <c r="C234" s="4"/>
      <c r="D234" s="4">
        <v>1.25</v>
      </c>
      <c r="E234" s="4"/>
      <c r="F234" s="4"/>
      <c r="G234" s="18">
        <f>G233+D234</f>
        <v>-24.5</v>
      </c>
      <c r="H234" s="4">
        <v>1.25</v>
      </c>
      <c r="I234" s="4"/>
      <c r="J234" s="4"/>
      <c r="K234" s="23">
        <f>K233+H234</f>
        <v>21.25</v>
      </c>
    </row>
    <row r="235" spans="1:11" x14ac:dyDescent="0.2">
      <c r="A235" s="4"/>
      <c r="B235" s="4" t="s">
        <v>67</v>
      </c>
      <c r="C235" s="4" t="s">
        <v>17</v>
      </c>
      <c r="D235" s="4"/>
      <c r="E235" s="4">
        <v>1</v>
      </c>
      <c r="F235" s="4"/>
      <c r="G235" s="18">
        <f>G234-E235</f>
        <v>-25.5</v>
      </c>
      <c r="H235" s="4"/>
      <c r="I235" s="4"/>
      <c r="J235" s="4"/>
      <c r="K235" s="4"/>
    </row>
    <row r="236" spans="1:11" x14ac:dyDescent="0.2">
      <c r="A236" s="4"/>
      <c r="B236" s="4" t="s">
        <v>68</v>
      </c>
      <c r="C236" s="4"/>
      <c r="D236" s="4">
        <v>1.25</v>
      </c>
      <c r="E236" s="4"/>
      <c r="F236" s="4"/>
      <c r="G236" s="18">
        <f>G235+D236</f>
        <v>-24.25</v>
      </c>
      <c r="H236" s="4">
        <v>1.25</v>
      </c>
      <c r="I236" s="4"/>
      <c r="J236" s="4"/>
      <c r="K236" s="23">
        <f>K234+H236</f>
        <v>22.5</v>
      </c>
    </row>
    <row r="237" spans="1:11" x14ac:dyDescent="0.2">
      <c r="A237" s="4"/>
      <c r="B237" s="4" t="s">
        <v>69</v>
      </c>
      <c r="C237" s="4"/>
      <c r="D237" s="4">
        <v>1.25</v>
      </c>
      <c r="E237" s="4"/>
      <c r="F237" s="4"/>
      <c r="G237" s="18">
        <f>G236+D237</f>
        <v>-23</v>
      </c>
      <c r="H237" s="4">
        <v>1.25</v>
      </c>
      <c r="I237" s="4"/>
      <c r="J237" s="4"/>
      <c r="K237" s="23">
        <f>K236+H237</f>
        <v>23.75</v>
      </c>
    </row>
    <row r="238" spans="1:11" x14ac:dyDescent="0.2">
      <c r="A238" s="4"/>
      <c r="B238" s="4" t="s">
        <v>25</v>
      </c>
      <c r="C238" s="4"/>
      <c r="D238" s="4">
        <v>1.25</v>
      </c>
      <c r="E238" s="4"/>
      <c r="F238" s="4"/>
      <c r="G238" s="18">
        <f>G237+D238</f>
        <v>-21.75</v>
      </c>
      <c r="H238" s="4">
        <v>1.25</v>
      </c>
      <c r="I238" s="4"/>
      <c r="J238" s="4"/>
      <c r="K238" s="23">
        <f>K237+H238</f>
        <v>25</v>
      </c>
    </row>
    <row r="239" spans="1:11" x14ac:dyDescent="0.2">
      <c r="A239" s="4"/>
      <c r="B239" s="4" t="s">
        <v>70</v>
      </c>
      <c r="C239" s="4" t="s">
        <v>30</v>
      </c>
      <c r="D239" s="4"/>
      <c r="E239" s="4">
        <v>2</v>
      </c>
      <c r="F239" s="4"/>
      <c r="G239" s="4"/>
      <c r="H239" s="4"/>
      <c r="I239" s="4"/>
      <c r="J239" s="4"/>
      <c r="K239" s="4"/>
    </row>
    <row r="240" spans="1:11" x14ac:dyDescent="0.2">
      <c r="A240" s="4"/>
      <c r="B240" s="4" t="s">
        <v>21</v>
      </c>
      <c r="C240" s="4"/>
      <c r="D240" s="4">
        <v>1.25</v>
      </c>
      <c r="E240" s="4"/>
      <c r="F240" s="4"/>
      <c r="G240" s="18">
        <f>G238+D240</f>
        <v>-20.5</v>
      </c>
      <c r="H240" s="4">
        <v>1.25</v>
      </c>
      <c r="I240" s="4"/>
      <c r="J240" s="4"/>
      <c r="K240" s="23">
        <f>K238+H240</f>
        <v>26.25</v>
      </c>
    </row>
    <row r="241" spans="1:11" x14ac:dyDescent="0.2">
      <c r="A241" s="4"/>
      <c r="B241" s="4" t="s">
        <v>33</v>
      </c>
      <c r="C241" s="4"/>
      <c r="D241" s="4">
        <v>1.25</v>
      </c>
      <c r="E241" s="4"/>
      <c r="F241" s="4"/>
      <c r="G241" s="18">
        <f>G240+D241</f>
        <v>-19.25</v>
      </c>
      <c r="H241" s="4">
        <v>1.25</v>
      </c>
      <c r="I241" s="4"/>
      <c r="J241" s="4"/>
      <c r="K241" s="23">
        <f>K240+H241</f>
        <v>27.5</v>
      </c>
    </row>
    <row r="242" spans="1:11" x14ac:dyDescent="0.2">
      <c r="A242" s="4"/>
      <c r="B242" s="4" t="s">
        <v>22</v>
      </c>
      <c r="C242" s="4"/>
      <c r="D242" s="4">
        <v>1.25</v>
      </c>
      <c r="E242" s="4"/>
      <c r="F242" s="4"/>
      <c r="G242" s="18">
        <f>G241+D242</f>
        <v>-18</v>
      </c>
      <c r="H242" s="4">
        <v>1.25</v>
      </c>
      <c r="I242" s="4"/>
      <c r="J242" s="4"/>
      <c r="K242" s="23">
        <f>K241+H242</f>
        <v>28.75</v>
      </c>
    </row>
    <row r="243" spans="1:11" x14ac:dyDescent="0.2">
      <c r="A243" s="4"/>
      <c r="B243" s="4"/>
      <c r="C243" s="4" t="s">
        <v>23</v>
      </c>
      <c r="D243" s="4"/>
      <c r="E243" s="4">
        <v>30</v>
      </c>
      <c r="F243" s="4"/>
      <c r="G243" s="18">
        <f>G242-E243</f>
        <v>-48</v>
      </c>
      <c r="H243" s="4"/>
      <c r="I243" s="4"/>
      <c r="J243" s="4"/>
      <c r="K243" s="4"/>
    </row>
    <row r="244" spans="1:11" x14ac:dyDescent="0.2">
      <c r="A244" s="4"/>
      <c r="B244" s="4" t="s">
        <v>45</v>
      </c>
      <c r="C244" s="4"/>
      <c r="D244" s="4">
        <v>1.25</v>
      </c>
      <c r="E244" s="4"/>
      <c r="F244" s="4"/>
      <c r="G244" s="18">
        <f>G243+D244</f>
        <v>-46.75</v>
      </c>
      <c r="H244" s="4">
        <v>1.25</v>
      </c>
      <c r="I244" s="4"/>
      <c r="J244" s="4"/>
      <c r="K244" s="23">
        <f>K242+H244</f>
        <v>30</v>
      </c>
    </row>
    <row r="245" spans="1:11" x14ac:dyDescent="0.2">
      <c r="A245" s="4"/>
      <c r="B245" s="4"/>
      <c r="C245" s="4" t="s">
        <v>17</v>
      </c>
      <c r="D245" s="4"/>
      <c r="E245" s="4">
        <v>4</v>
      </c>
      <c r="F245" s="4"/>
      <c r="G245" s="18">
        <f>G244-E245</f>
        <v>-50.75</v>
      </c>
      <c r="H245" s="4"/>
      <c r="I245" s="4"/>
      <c r="J245" s="4"/>
      <c r="K245" s="4"/>
    </row>
    <row r="246" spans="1:11" x14ac:dyDescent="0.2">
      <c r="A246" s="4">
        <v>2016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x14ac:dyDescent="0.2">
      <c r="A247" s="4"/>
      <c r="B247" s="4" t="s">
        <v>32</v>
      </c>
      <c r="C247" s="4"/>
      <c r="D247" s="4">
        <v>1.25</v>
      </c>
      <c r="E247" s="4"/>
      <c r="F247" s="4"/>
      <c r="G247" s="18">
        <f>G245+D247</f>
        <v>-49.5</v>
      </c>
      <c r="H247" s="4">
        <v>1.25</v>
      </c>
      <c r="I247" s="4"/>
      <c r="J247" s="4"/>
      <c r="K247" s="23">
        <f>K244+H247</f>
        <v>31.25</v>
      </c>
    </row>
    <row r="248" spans="1:11" x14ac:dyDescent="0.2">
      <c r="A248" s="4"/>
      <c r="B248" s="4" t="s">
        <v>35</v>
      </c>
      <c r="C248" s="4"/>
      <c r="D248" s="4">
        <v>1.25</v>
      </c>
      <c r="E248" s="4"/>
      <c r="F248" s="4"/>
      <c r="G248" s="18">
        <f>G247+D248</f>
        <v>-48.25</v>
      </c>
      <c r="H248" s="4">
        <v>1.25</v>
      </c>
      <c r="I248" s="4"/>
      <c r="J248" s="4"/>
      <c r="K248" s="23">
        <f>K247+H248</f>
        <v>32.5</v>
      </c>
    </row>
    <row r="249" spans="1:11" x14ac:dyDescent="0.2">
      <c r="A249" s="4"/>
      <c r="B249" s="4" t="s">
        <v>36</v>
      </c>
      <c r="C249" s="4"/>
      <c r="D249" s="4">
        <v>1.25</v>
      </c>
      <c r="E249" s="4"/>
      <c r="F249" s="4"/>
      <c r="G249" s="18">
        <f t="shared" ref="G249:G256" si="0">G248+D249</f>
        <v>-47</v>
      </c>
      <c r="H249" s="4">
        <v>1.25</v>
      </c>
      <c r="I249" s="4"/>
      <c r="J249" s="4"/>
      <c r="K249" s="23">
        <f t="shared" ref="K249:K256" si="1">K248+H249</f>
        <v>33.75</v>
      </c>
    </row>
    <row r="250" spans="1:11" x14ac:dyDescent="0.2">
      <c r="A250" s="4"/>
      <c r="B250" s="4" t="s">
        <v>19</v>
      </c>
      <c r="C250" s="4"/>
      <c r="D250" s="4">
        <v>1.25</v>
      </c>
      <c r="E250" s="4"/>
      <c r="F250" s="4"/>
      <c r="G250" s="18">
        <f t="shared" si="0"/>
        <v>-45.75</v>
      </c>
      <c r="H250" s="4">
        <v>1.25</v>
      </c>
      <c r="I250" s="4"/>
      <c r="J250" s="4"/>
      <c r="K250" s="23">
        <f t="shared" si="1"/>
        <v>35</v>
      </c>
    </row>
    <row r="251" spans="1:11" x14ac:dyDescent="0.2">
      <c r="A251" s="4"/>
      <c r="B251" s="4" t="s">
        <v>24</v>
      </c>
      <c r="C251" s="4"/>
      <c r="D251" s="4">
        <v>1.25</v>
      </c>
      <c r="E251" s="4"/>
      <c r="F251" s="4"/>
      <c r="G251" s="18">
        <f t="shared" si="0"/>
        <v>-44.5</v>
      </c>
      <c r="H251" s="4">
        <v>1.25</v>
      </c>
      <c r="I251" s="4"/>
      <c r="J251" s="4"/>
      <c r="K251" s="23">
        <f t="shared" si="1"/>
        <v>36.25</v>
      </c>
    </row>
    <row r="252" spans="1:11" x14ac:dyDescent="0.2">
      <c r="A252" s="4"/>
      <c r="B252" s="4" t="s">
        <v>68</v>
      </c>
      <c r="C252" s="4"/>
      <c r="D252" s="4">
        <v>1.25</v>
      </c>
      <c r="E252" s="4"/>
      <c r="F252" s="4"/>
      <c r="G252" s="18">
        <f t="shared" si="0"/>
        <v>-43.25</v>
      </c>
      <c r="H252" s="4">
        <v>1.25</v>
      </c>
      <c r="I252" s="4"/>
      <c r="J252" s="4"/>
      <c r="K252" s="23">
        <f t="shared" si="1"/>
        <v>37.5</v>
      </c>
    </row>
    <row r="253" spans="1:11" x14ac:dyDescent="0.2">
      <c r="A253" s="4"/>
      <c r="B253" s="4" t="s">
        <v>69</v>
      </c>
      <c r="C253" s="4"/>
      <c r="D253" s="4">
        <v>1.25</v>
      </c>
      <c r="E253" s="4"/>
      <c r="F253" s="4"/>
      <c r="G253" s="18">
        <f t="shared" si="0"/>
        <v>-42</v>
      </c>
      <c r="H253" s="4">
        <v>1.25</v>
      </c>
      <c r="I253" s="4"/>
      <c r="J253" s="4"/>
      <c r="K253" s="23">
        <f t="shared" si="1"/>
        <v>38.75</v>
      </c>
    </row>
    <row r="254" spans="1:11" x14ac:dyDescent="0.2">
      <c r="A254" s="4"/>
      <c r="B254" s="4" t="s">
        <v>25</v>
      </c>
      <c r="C254" s="4"/>
      <c r="D254" s="4">
        <v>1.25</v>
      </c>
      <c r="E254" s="4"/>
      <c r="F254" s="4"/>
      <c r="G254" s="18">
        <f t="shared" si="0"/>
        <v>-40.75</v>
      </c>
      <c r="H254" s="4">
        <v>1.25</v>
      </c>
      <c r="I254" s="4"/>
      <c r="J254" s="4"/>
      <c r="K254" s="23">
        <f t="shared" si="1"/>
        <v>40</v>
      </c>
    </row>
    <row r="255" spans="1:11" x14ac:dyDescent="0.2">
      <c r="A255" s="4"/>
      <c r="B255" s="4" t="s">
        <v>21</v>
      </c>
      <c r="C255" s="4"/>
      <c r="D255" s="4">
        <v>1.25</v>
      </c>
      <c r="E255" s="4"/>
      <c r="F255" s="4"/>
      <c r="G255" s="18">
        <f t="shared" si="0"/>
        <v>-39.5</v>
      </c>
      <c r="H255" s="4">
        <v>1.25</v>
      </c>
      <c r="I255" s="4"/>
      <c r="J255" s="4"/>
      <c r="K255" s="23">
        <f t="shared" si="1"/>
        <v>41.25</v>
      </c>
    </row>
    <row r="256" spans="1:11" x14ac:dyDescent="0.2">
      <c r="A256" s="4"/>
      <c r="B256" s="4" t="s">
        <v>33</v>
      </c>
      <c r="C256" s="4"/>
      <c r="D256" s="4">
        <v>1.25</v>
      </c>
      <c r="E256" s="4"/>
      <c r="F256" s="4"/>
      <c r="G256" s="18">
        <f t="shared" si="0"/>
        <v>-38.25</v>
      </c>
      <c r="H256" s="4">
        <v>1.25</v>
      </c>
      <c r="I256" s="4"/>
      <c r="J256" s="4"/>
      <c r="K256" s="23">
        <f t="shared" si="1"/>
        <v>42.5</v>
      </c>
    </row>
    <row r="258" spans="1:11" x14ac:dyDescent="0.2">
      <c r="I258" s="4"/>
    </row>
    <row r="263" spans="1:11" ht="26.25" x14ac:dyDescent="0.2">
      <c r="A263" s="56" t="s">
        <v>0</v>
      </c>
      <c r="B263" s="57"/>
      <c r="C263" s="57"/>
      <c r="D263" s="57"/>
      <c r="E263" s="57"/>
      <c r="F263" s="57"/>
      <c r="G263" s="57"/>
      <c r="H263" s="57"/>
      <c r="I263" s="57"/>
      <c r="J263" s="57"/>
      <c r="K263" s="57"/>
    </row>
    <row r="264" spans="1:11" x14ac:dyDescent="0.2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" x14ac:dyDescent="0.25">
      <c r="A265" s="7" t="s">
        <v>1</v>
      </c>
      <c r="B265" s="58"/>
      <c r="C265" s="58"/>
      <c r="D265" s="58"/>
      <c r="E265" s="58"/>
      <c r="F265" s="8"/>
      <c r="G265" s="9" t="s">
        <v>2</v>
      </c>
      <c r="H265" s="58"/>
      <c r="I265" s="58"/>
      <c r="J265" s="58"/>
      <c r="K265" s="58"/>
    </row>
    <row r="266" spans="1:11" ht="15" x14ac:dyDescent="0.25">
      <c r="A266" s="7"/>
      <c r="B266" s="53" t="s">
        <v>3</v>
      </c>
      <c r="C266" s="53"/>
      <c r="D266" s="53" t="s">
        <v>4</v>
      </c>
      <c r="E266" s="53"/>
      <c r="F266" s="10" t="s">
        <v>5</v>
      </c>
      <c r="G266" s="9"/>
      <c r="H266" s="9"/>
      <c r="I266" s="9"/>
      <c r="J266" s="9"/>
      <c r="K266" s="9"/>
    </row>
    <row r="267" spans="1:11" ht="15.75" thickBot="1" x14ac:dyDescent="0.25">
      <c r="A267" s="11" t="s">
        <v>6</v>
      </c>
      <c r="B267" s="12"/>
      <c r="C267" s="12"/>
      <c r="D267" s="54"/>
      <c r="E267" s="54"/>
      <c r="F267" s="54"/>
      <c r="G267" s="10"/>
      <c r="H267" s="10"/>
      <c r="I267" s="10"/>
      <c r="J267" s="10"/>
      <c r="K267" s="10"/>
    </row>
    <row r="268" spans="1:11" ht="15.75" thickBot="1" x14ac:dyDescent="0.25">
      <c r="A268" s="55" t="s">
        <v>7</v>
      </c>
      <c r="B268" s="51"/>
      <c r="C268" s="51"/>
      <c r="D268" s="51" t="s">
        <v>8</v>
      </c>
      <c r="E268" s="51"/>
      <c r="F268" s="51"/>
      <c r="G268" s="51"/>
      <c r="H268" s="51" t="s">
        <v>9</v>
      </c>
      <c r="I268" s="51"/>
      <c r="J268" s="51"/>
      <c r="K268" s="52"/>
    </row>
    <row r="269" spans="1:11" ht="60" x14ac:dyDescent="0.2">
      <c r="A269" s="13" t="s">
        <v>10</v>
      </c>
      <c r="B269" s="14" t="s">
        <v>11</v>
      </c>
      <c r="C269" s="14" t="s">
        <v>12</v>
      </c>
      <c r="D269" s="14" t="s">
        <v>13</v>
      </c>
      <c r="E269" s="14" t="s">
        <v>14</v>
      </c>
      <c r="F269" s="14" t="s">
        <v>15</v>
      </c>
      <c r="G269" s="14" t="s">
        <v>16</v>
      </c>
      <c r="H269" s="14" t="s">
        <v>13</v>
      </c>
      <c r="I269" s="14" t="s">
        <v>14</v>
      </c>
      <c r="J269" s="14" t="s">
        <v>15</v>
      </c>
      <c r="K269" s="14" t="s">
        <v>16</v>
      </c>
    </row>
    <row r="270" spans="1:11" x14ac:dyDescent="0.2">
      <c r="A270" s="4"/>
      <c r="B270" s="4"/>
      <c r="C270" s="44" t="s">
        <v>27</v>
      </c>
      <c r="D270" s="45"/>
      <c r="E270" s="46"/>
      <c r="F270" s="4"/>
      <c r="G270" s="19">
        <f>G256</f>
        <v>-38.25</v>
      </c>
      <c r="H270" s="4"/>
      <c r="I270" s="4"/>
      <c r="J270" s="4"/>
      <c r="K270" s="19">
        <f>K256</f>
        <v>42.5</v>
      </c>
    </row>
    <row r="271" spans="1:11" x14ac:dyDescent="0.2"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 x14ac:dyDescent="0.2">
      <c r="A272" s="4"/>
      <c r="B272" s="4"/>
      <c r="C272" s="4" t="s">
        <v>23</v>
      </c>
      <c r="D272" s="4"/>
      <c r="E272" s="4">
        <v>10</v>
      </c>
      <c r="F272" s="4"/>
      <c r="G272" s="18">
        <f>G270-E272</f>
        <v>-48.25</v>
      </c>
      <c r="H272" s="4">
        <v>1.25</v>
      </c>
      <c r="I272" s="4"/>
      <c r="J272" s="4"/>
      <c r="K272" s="18">
        <f>K270+H272</f>
        <v>43.75</v>
      </c>
    </row>
    <row r="273" spans="1:11" x14ac:dyDescent="0.2">
      <c r="B273" s="4" t="s">
        <v>22</v>
      </c>
      <c r="C273" s="4"/>
      <c r="D273" s="4">
        <v>1.25</v>
      </c>
      <c r="E273" s="4"/>
      <c r="F273" s="4"/>
      <c r="G273" s="18">
        <f>G272+D273</f>
        <v>-47</v>
      </c>
      <c r="H273" s="4">
        <v>1.25</v>
      </c>
      <c r="I273" s="4"/>
      <c r="J273" s="4"/>
      <c r="K273" s="18">
        <f>K272+H273</f>
        <v>45</v>
      </c>
    </row>
    <row r="274" spans="1:11" x14ac:dyDescent="0.2">
      <c r="A274" s="4"/>
      <c r="B274" s="4" t="s">
        <v>28</v>
      </c>
      <c r="C274" s="4"/>
      <c r="D274" s="4">
        <v>1.25</v>
      </c>
      <c r="E274" s="4"/>
      <c r="F274" s="4"/>
      <c r="G274" s="18">
        <f>G273+D274</f>
        <v>-45.75</v>
      </c>
      <c r="H274" s="4">
        <v>1.25</v>
      </c>
      <c r="I274" s="4"/>
      <c r="J274" s="4"/>
      <c r="K274" s="18">
        <f>K273+H274</f>
        <v>46.25</v>
      </c>
    </row>
    <row r="275" spans="1:11" x14ac:dyDescent="0.2">
      <c r="A275" s="4"/>
      <c r="B275" s="4"/>
      <c r="C275" s="4" t="s">
        <v>17</v>
      </c>
      <c r="D275" s="4"/>
      <c r="E275" s="4">
        <v>5</v>
      </c>
      <c r="F275" s="4"/>
      <c r="G275" s="18">
        <f>G274-E275</f>
        <v>-50.75</v>
      </c>
      <c r="H275" s="4"/>
      <c r="I275" s="4"/>
      <c r="J275" s="4"/>
      <c r="K275" s="4"/>
    </row>
    <row r="276" spans="1:11" x14ac:dyDescent="0.2">
      <c r="A276" s="4">
        <v>2017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 x14ac:dyDescent="0.2">
      <c r="A277" s="4"/>
      <c r="B277" s="4" t="s">
        <v>71</v>
      </c>
      <c r="C277" s="4"/>
      <c r="D277" s="4">
        <v>1.25</v>
      </c>
      <c r="E277" s="4"/>
      <c r="F277" s="4"/>
      <c r="G277" s="18">
        <f>G275+D277</f>
        <v>-49.5</v>
      </c>
      <c r="H277" s="4">
        <v>1.25</v>
      </c>
      <c r="I277" s="4"/>
      <c r="J277" s="4"/>
      <c r="K277" s="18">
        <f>K274+H277</f>
        <v>47.5</v>
      </c>
    </row>
    <row r="278" spans="1:11" x14ac:dyDescent="0.2">
      <c r="A278" s="4"/>
      <c r="B278" s="4" t="s">
        <v>32</v>
      </c>
      <c r="C278" s="4"/>
      <c r="D278" s="4">
        <v>1.25</v>
      </c>
      <c r="E278" s="4"/>
      <c r="F278" s="4"/>
      <c r="G278" s="18">
        <f>G277+D278</f>
        <v>-48.25</v>
      </c>
      <c r="H278" s="4">
        <v>1.25</v>
      </c>
      <c r="I278" s="4"/>
      <c r="J278" s="4"/>
      <c r="K278" s="18">
        <f>K277+H278</f>
        <v>48.75</v>
      </c>
    </row>
    <row r="279" spans="1:11" x14ac:dyDescent="0.2">
      <c r="A279" s="4"/>
      <c r="B279" s="4" t="s">
        <v>26</v>
      </c>
      <c r="C279" s="4"/>
      <c r="D279" s="4">
        <v>1.25</v>
      </c>
      <c r="E279" s="4"/>
      <c r="F279" s="4"/>
      <c r="G279" s="18">
        <f t="shared" ref="G279:G289" si="2">G278+D279</f>
        <v>-47</v>
      </c>
      <c r="H279" s="4">
        <v>1.25</v>
      </c>
      <c r="I279" s="4"/>
      <c r="J279" s="4"/>
      <c r="K279" s="18">
        <f t="shared" ref="K279:K289" si="3">K278+H279</f>
        <v>50</v>
      </c>
    </row>
    <row r="280" spans="1:11" x14ac:dyDescent="0.2">
      <c r="A280" s="4"/>
      <c r="B280" s="4" t="s">
        <v>36</v>
      </c>
      <c r="C280" s="4"/>
      <c r="D280" s="4">
        <v>1.25</v>
      </c>
      <c r="E280" s="4"/>
      <c r="F280" s="4"/>
      <c r="G280" s="18">
        <f t="shared" si="2"/>
        <v>-45.75</v>
      </c>
      <c r="H280" s="4">
        <v>1.25</v>
      </c>
      <c r="I280" s="4"/>
      <c r="J280" s="4"/>
      <c r="K280" s="18">
        <f t="shared" si="3"/>
        <v>51.25</v>
      </c>
    </row>
    <row r="281" spans="1:11" x14ac:dyDescent="0.2">
      <c r="A281" s="4"/>
      <c r="B281" s="4" t="s">
        <v>19</v>
      </c>
      <c r="C281" s="4"/>
      <c r="D281" s="4">
        <v>1.25</v>
      </c>
      <c r="E281" s="4"/>
      <c r="F281" s="4"/>
      <c r="G281" s="18">
        <f t="shared" si="2"/>
        <v>-44.5</v>
      </c>
      <c r="H281" s="4">
        <v>1.25</v>
      </c>
      <c r="I281" s="4"/>
      <c r="J281" s="4"/>
      <c r="K281" s="18">
        <f t="shared" si="3"/>
        <v>52.5</v>
      </c>
    </row>
    <row r="282" spans="1:11" x14ac:dyDescent="0.2">
      <c r="A282" s="4"/>
      <c r="B282" s="4" t="s">
        <v>20</v>
      </c>
      <c r="C282" s="4"/>
      <c r="D282" s="4">
        <v>1.25</v>
      </c>
      <c r="E282" s="4"/>
      <c r="F282" s="4"/>
      <c r="G282" s="18">
        <f t="shared" si="2"/>
        <v>-43.25</v>
      </c>
      <c r="H282" s="4">
        <v>1.25</v>
      </c>
      <c r="I282" s="4"/>
      <c r="J282" s="4"/>
      <c r="K282" s="18">
        <f t="shared" si="3"/>
        <v>53.75</v>
      </c>
    </row>
    <row r="283" spans="1:11" x14ac:dyDescent="0.2">
      <c r="A283" s="4"/>
      <c r="B283" s="4" t="s">
        <v>68</v>
      </c>
      <c r="C283" s="4"/>
      <c r="D283" s="4">
        <v>1.25</v>
      </c>
      <c r="E283" s="4"/>
      <c r="F283" s="4"/>
      <c r="G283" s="18">
        <f t="shared" si="2"/>
        <v>-42</v>
      </c>
      <c r="H283" s="4">
        <v>1.25</v>
      </c>
      <c r="I283" s="4"/>
      <c r="J283" s="4"/>
      <c r="K283" s="18">
        <f t="shared" si="3"/>
        <v>55</v>
      </c>
    </row>
    <row r="284" spans="1:11" x14ac:dyDescent="0.2">
      <c r="A284" s="4"/>
      <c r="B284" s="4" t="s">
        <v>69</v>
      </c>
      <c r="C284" s="4"/>
      <c r="D284" s="4">
        <v>1.25</v>
      </c>
      <c r="E284" s="4"/>
      <c r="F284" s="4"/>
      <c r="G284" s="18">
        <f t="shared" si="2"/>
        <v>-40.75</v>
      </c>
      <c r="H284" s="4">
        <v>1.25</v>
      </c>
      <c r="I284" s="4"/>
      <c r="J284" s="4"/>
      <c r="K284" s="18">
        <f t="shared" si="3"/>
        <v>56.25</v>
      </c>
    </row>
    <row r="285" spans="1:11" x14ac:dyDescent="0.2">
      <c r="A285" s="4"/>
      <c r="B285" s="4" t="s">
        <v>25</v>
      </c>
      <c r="C285" s="4"/>
      <c r="D285" s="4">
        <v>1.25</v>
      </c>
      <c r="E285" s="4"/>
      <c r="F285" s="4"/>
      <c r="G285" s="18">
        <f t="shared" si="2"/>
        <v>-39.5</v>
      </c>
      <c r="H285" s="4">
        <v>1.25</v>
      </c>
      <c r="I285" s="4"/>
      <c r="J285" s="4"/>
      <c r="K285" s="18">
        <f t="shared" si="3"/>
        <v>57.5</v>
      </c>
    </row>
    <row r="286" spans="1:11" x14ac:dyDescent="0.2">
      <c r="A286" s="4"/>
      <c r="B286" s="4" t="s">
        <v>21</v>
      </c>
      <c r="C286" s="4"/>
      <c r="D286" s="4">
        <v>1.25</v>
      </c>
      <c r="E286" s="4"/>
      <c r="F286" s="4"/>
      <c r="G286" s="18">
        <f t="shared" si="2"/>
        <v>-38.25</v>
      </c>
      <c r="H286" s="4">
        <v>1.25</v>
      </c>
      <c r="I286" s="4"/>
      <c r="J286" s="4"/>
      <c r="K286" s="18">
        <f t="shared" si="3"/>
        <v>58.75</v>
      </c>
    </row>
    <row r="287" spans="1:11" x14ac:dyDescent="0.2">
      <c r="A287" s="4"/>
      <c r="B287" s="4" t="s">
        <v>33</v>
      </c>
      <c r="C287" s="4"/>
      <c r="D287" s="4">
        <v>1.25</v>
      </c>
      <c r="E287" s="4"/>
      <c r="F287" s="4"/>
      <c r="G287" s="18">
        <f t="shared" si="2"/>
        <v>-37</v>
      </c>
      <c r="H287" s="4">
        <v>1.25</v>
      </c>
      <c r="I287" s="4"/>
      <c r="J287" s="4"/>
      <c r="K287" s="18">
        <f t="shared" si="3"/>
        <v>60</v>
      </c>
    </row>
    <row r="288" spans="1:11" x14ac:dyDescent="0.2">
      <c r="A288" s="4"/>
      <c r="B288" s="4" t="s">
        <v>22</v>
      </c>
      <c r="C288" s="4"/>
      <c r="D288" s="4">
        <v>1.25</v>
      </c>
      <c r="E288" s="4"/>
      <c r="F288" s="4"/>
      <c r="G288" s="18">
        <f t="shared" si="2"/>
        <v>-35.75</v>
      </c>
      <c r="H288" s="4">
        <v>1.25</v>
      </c>
      <c r="I288" s="4"/>
      <c r="J288" s="4"/>
      <c r="K288" s="18">
        <f t="shared" si="3"/>
        <v>61.25</v>
      </c>
    </row>
    <row r="289" spans="1:11" x14ac:dyDescent="0.2">
      <c r="A289" s="4"/>
      <c r="B289" s="4" t="s">
        <v>28</v>
      </c>
      <c r="C289" s="4"/>
      <c r="D289" s="4">
        <v>1.25</v>
      </c>
      <c r="E289" s="4"/>
      <c r="F289" s="4"/>
      <c r="G289" s="18">
        <f t="shared" si="2"/>
        <v>-34.5</v>
      </c>
      <c r="H289" s="4">
        <v>1.25</v>
      </c>
      <c r="I289" s="4"/>
      <c r="J289" s="4"/>
      <c r="K289" s="18">
        <f t="shared" si="3"/>
        <v>62.5</v>
      </c>
    </row>
    <row r="290" spans="1:11" x14ac:dyDescent="0.2">
      <c r="A290" s="4"/>
      <c r="B290" s="4"/>
      <c r="C290" s="4" t="s">
        <v>17</v>
      </c>
      <c r="D290" s="4"/>
      <c r="E290" s="4">
        <v>5</v>
      </c>
      <c r="F290" s="4"/>
      <c r="G290" s="18">
        <f>G289-E290</f>
        <v>-39.5</v>
      </c>
      <c r="H290" s="4"/>
      <c r="I290" s="4"/>
      <c r="J290" s="4"/>
      <c r="K290" s="4"/>
    </row>
    <row r="291" spans="1:11" x14ac:dyDescent="0.2">
      <c r="A291" s="4"/>
      <c r="B291" s="4"/>
      <c r="C291" s="4" t="s">
        <v>23</v>
      </c>
      <c r="D291" s="4"/>
      <c r="E291" s="4">
        <v>14</v>
      </c>
      <c r="F291" s="4"/>
      <c r="G291" s="18">
        <f>G290-E291</f>
        <v>-53.5</v>
      </c>
      <c r="H291" s="4"/>
      <c r="I291" s="4"/>
      <c r="J291" s="4"/>
      <c r="K291" s="4"/>
    </row>
    <row r="292" spans="1:11" x14ac:dyDescent="0.2">
      <c r="A292" s="4">
        <v>2018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 x14ac:dyDescent="0.2">
      <c r="A293" s="4"/>
      <c r="B293" s="4" t="s">
        <v>32</v>
      </c>
      <c r="C293" s="4"/>
      <c r="D293" s="4">
        <v>1.25</v>
      </c>
      <c r="E293" s="4"/>
      <c r="F293" s="4"/>
      <c r="G293" s="18">
        <f>G291+D293</f>
        <v>-52.25</v>
      </c>
      <c r="H293" s="4">
        <v>1.25</v>
      </c>
      <c r="I293" s="4"/>
      <c r="J293" s="4"/>
      <c r="K293" s="18">
        <f>K289+H293</f>
        <v>63.75</v>
      </c>
    </row>
    <row r="294" spans="1:11" x14ac:dyDescent="0.2">
      <c r="A294" s="4"/>
      <c r="B294" s="4" t="s">
        <v>26</v>
      </c>
      <c r="C294" s="4"/>
      <c r="D294" s="4">
        <v>1.25</v>
      </c>
      <c r="E294" s="4"/>
      <c r="F294" s="4"/>
      <c r="G294" s="18">
        <f>G293+D294</f>
        <v>-51</v>
      </c>
      <c r="H294" s="4">
        <v>1.25</v>
      </c>
      <c r="I294" s="4"/>
      <c r="J294" s="4"/>
      <c r="K294" s="18">
        <f>K293+H294</f>
        <v>65</v>
      </c>
    </row>
    <row r="295" spans="1:11" x14ac:dyDescent="0.2">
      <c r="A295" s="4"/>
      <c r="B295" s="4" t="s">
        <v>36</v>
      </c>
      <c r="C295" s="4"/>
      <c r="D295" s="4">
        <v>1.25</v>
      </c>
      <c r="E295" s="4"/>
      <c r="F295" s="4"/>
      <c r="G295" s="18">
        <f t="shared" ref="G295:G299" si="4">G294+D295</f>
        <v>-49.75</v>
      </c>
      <c r="H295" s="4">
        <v>1.25</v>
      </c>
      <c r="I295" s="4"/>
      <c r="J295" s="4"/>
      <c r="K295" s="18">
        <f t="shared" ref="K295:K299" si="5">K294+H295</f>
        <v>66.25</v>
      </c>
    </row>
    <row r="296" spans="1:11" x14ac:dyDescent="0.2">
      <c r="A296" s="4"/>
      <c r="B296" s="4" t="s">
        <v>19</v>
      </c>
      <c r="C296" s="4"/>
      <c r="D296" s="4">
        <v>1.25</v>
      </c>
      <c r="E296" s="4"/>
      <c r="F296" s="4"/>
      <c r="G296" s="18">
        <f t="shared" si="4"/>
        <v>-48.5</v>
      </c>
      <c r="H296" s="4">
        <v>1.25</v>
      </c>
      <c r="I296" s="4"/>
      <c r="J296" s="4"/>
      <c r="K296" s="18">
        <f t="shared" si="5"/>
        <v>67.5</v>
      </c>
    </row>
    <row r="297" spans="1:11" x14ac:dyDescent="0.2">
      <c r="A297" s="4"/>
      <c r="B297" s="4" t="s">
        <v>20</v>
      </c>
      <c r="C297" s="4"/>
      <c r="D297" s="4">
        <v>1.25</v>
      </c>
      <c r="E297" s="4"/>
      <c r="F297" s="4"/>
      <c r="G297" s="18">
        <f t="shared" si="4"/>
        <v>-47.25</v>
      </c>
      <c r="H297" s="4">
        <v>1.25</v>
      </c>
      <c r="I297" s="4"/>
      <c r="J297" s="4"/>
      <c r="K297" s="18">
        <f t="shared" si="5"/>
        <v>68.75</v>
      </c>
    </row>
    <row r="298" spans="1:11" x14ac:dyDescent="0.2">
      <c r="A298" s="4"/>
      <c r="B298" s="4" t="s">
        <v>68</v>
      </c>
      <c r="C298" s="4"/>
      <c r="D298" s="4">
        <v>1.25</v>
      </c>
      <c r="E298" s="4"/>
      <c r="F298" s="4"/>
      <c r="G298" s="18">
        <f t="shared" si="4"/>
        <v>-46</v>
      </c>
      <c r="H298" s="4">
        <v>1.25</v>
      </c>
      <c r="I298" s="4"/>
      <c r="J298" s="4"/>
      <c r="K298" s="18">
        <f t="shared" si="5"/>
        <v>70</v>
      </c>
    </row>
    <row r="299" spans="1:11" x14ac:dyDescent="0.2">
      <c r="A299" s="4"/>
      <c r="B299" s="4" t="s">
        <v>69</v>
      </c>
      <c r="C299" s="4"/>
      <c r="D299" s="4">
        <v>1.25</v>
      </c>
      <c r="E299" s="4"/>
      <c r="F299" s="4"/>
      <c r="G299" s="18">
        <f t="shared" si="4"/>
        <v>-44.75</v>
      </c>
      <c r="H299" s="4">
        <v>1.25</v>
      </c>
      <c r="I299" s="4"/>
      <c r="J299" s="4"/>
      <c r="K299" s="18">
        <f t="shared" si="5"/>
        <v>71.25</v>
      </c>
    </row>
    <row r="300" spans="1:11" x14ac:dyDescent="0.2">
      <c r="A300" s="4"/>
      <c r="B300" s="4" t="s">
        <v>58</v>
      </c>
      <c r="C300" s="4" t="s">
        <v>30</v>
      </c>
      <c r="D300" s="4"/>
      <c r="E300" s="4">
        <v>1</v>
      </c>
      <c r="F300" s="4"/>
      <c r="G300" s="18"/>
      <c r="H300" s="4"/>
      <c r="I300" s="4"/>
      <c r="J300" s="4"/>
      <c r="K300" s="4"/>
    </row>
    <row r="301" spans="1:11" x14ac:dyDescent="0.2">
      <c r="A301" s="4"/>
      <c r="B301" s="4" t="s">
        <v>25</v>
      </c>
      <c r="C301" s="4"/>
      <c r="D301" s="4">
        <v>1.25</v>
      </c>
      <c r="E301" s="4"/>
      <c r="F301" s="4"/>
      <c r="G301" s="18">
        <f>G299+D301</f>
        <v>-43.5</v>
      </c>
      <c r="H301" s="4">
        <v>1.25</v>
      </c>
      <c r="I301" s="4"/>
      <c r="J301" s="4"/>
      <c r="K301" s="18">
        <f>K299+H301</f>
        <v>72.5</v>
      </c>
    </row>
    <row r="302" spans="1:11" x14ac:dyDescent="0.2">
      <c r="A302" s="4"/>
      <c r="B302" s="4" t="s">
        <v>21</v>
      </c>
      <c r="C302" s="4"/>
      <c r="D302" s="4">
        <v>1.25</v>
      </c>
      <c r="E302" s="4"/>
      <c r="F302" s="4"/>
      <c r="G302" s="18">
        <f>G301+D302</f>
        <v>-42.25</v>
      </c>
      <c r="H302" s="4">
        <v>1.25</v>
      </c>
      <c r="I302" s="4"/>
      <c r="J302" s="4"/>
      <c r="K302" s="18">
        <f>K301+H302</f>
        <v>73.75</v>
      </c>
    </row>
    <row r="303" spans="1:11" x14ac:dyDescent="0.2">
      <c r="A303" s="4"/>
      <c r="B303" s="4"/>
      <c r="C303" s="4" t="s">
        <v>23</v>
      </c>
      <c r="D303" s="4"/>
      <c r="E303" s="4">
        <v>11</v>
      </c>
      <c r="F303" s="4"/>
      <c r="G303" s="18">
        <f>G302-E303</f>
        <v>-53.25</v>
      </c>
      <c r="H303" s="4"/>
      <c r="I303" s="4">
        <v>19</v>
      </c>
      <c r="J303" s="4"/>
      <c r="K303" s="18">
        <f>K302-I303</f>
        <v>54.75</v>
      </c>
    </row>
    <row r="304" spans="1:11" x14ac:dyDescent="0.2">
      <c r="A304" s="4"/>
      <c r="B304" s="4" t="s">
        <v>33</v>
      </c>
      <c r="C304" s="4"/>
      <c r="D304" s="4">
        <v>1.25</v>
      </c>
      <c r="E304" s="4"/>
      <c r="F304" s="4"/>
      <c r="G304" s="18">
        <f>G303+D304</f>
        <v>-52</v>
      </c>
      <c r="H304" s="4">
        <v>1.25</v>
      </c>
      <c r="I304" s="4"/>
      <c r="J304" s="4"/>
      <c r="K304" s="18">
        <f>K303+H304</f>
        <v>56</v>
      </c>
    </row>
    <row r="305" spans="1:11" x14ac:dyDescent="0.2">
      <c r="A305" s="4"/>
      <c r="B305" s="4" t="s">
        <v>22</v>
      </c>
      <c r="C305" s="4"/>
      <c r="D305" s="4">
        <v>1.25</v>
      </c>
      <c r="E305" s="4"/>
      <c r="F305" s="4"/>
      <c r="G305" s="18">
        <f>G304+D305</f>
        <v>-50.75</v>
      </c>
      <c r="H305" s="4">
        <v>1.25</v>
      </c>
      <c r="I305" s="4"/>
      <c r="J305" s="4"/>
      <c r="K305" s="18">
        <f>K304+H305</f>
        <v>57.25</v>
      </c>
    </row>
    <row r="306" spans="1:11" x14ac:dyDescent="0.2">
      <c r="A306" s="4"/>
      <c r="B306" s="4" t="s">
        <v>28</v>
      </c>
      <c r="C306" s="4"/>
      <c r="D306" s="4">
        <v>1.25</v>
      </c>
      <c r="E306" s="4"/>
      <c r="F306" s="4"/>
      <c r="G306" s="18">
        <f>G305+D306</f>
        <v>-49.5</v>
      </c>
      <c r="H306" s="4">
        <v>1.25</v>
      </c>
      <c r="I306" s="4"/>
      <c r="J306" s="4"/>
      <c r="K306" s="18">
        <f>K305+H306</f>
        <v>58.5</v>
      </c>
    </row>
    <row r="307" spans="1:11" x14ac:dyDescent="0.2">
      <c r="A307" s="4"/>
      <c r="B307" s="4"/>
      <c r="C307" s="4" t="s">
        <v>17</v>
      </c>
      <c r="D307" s="4"/>
      <c r="E307" s="4">
        <v>5</v>
      </c>
      <c r="F307" s="4"/>
      <c r="G307" s="18">
        <f>G306-E307</f>
        <v>-54.5</v>
      </c>
      <c r="H307" s="4"/>
      <c r="I307" s="4"/>
      <c r="J307" s="4"/>
      <c r="K307" s="4"/>
    </row>
    <row r="308" spans="1:11" x14ac:dyDescent="0.2">
      <c r="A308" s="4">
        <v>2019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spans="1:11" x14ac:dyDescent="0.2">
      <c r="A309" s="4"/>
      <c r="B309" s="4" t="s">
        <v>32</v>
      </c>
      <c r="C309" s="4"/>
      <c r="D309" s="4">
        <v>1.25</v>
      </c>
      <c r="E309" s="4"/>
      <c r="F309" s="4"/>
      <c r="G309" s="18">
        <f>G307+D309</f>
        <v>-53.25</v>
      </c>
      <c r="H309" s="4">
        <v>1.25</v>
      </c>
      <c r="I309" s="4"/>
      <c r="J309" s="4"/>
      <c r="K309" s="18">
        <f>K306+H309</f>
        <v>59.75</v>
      </c>
    </row>
    <row r="310" spans="1:11" x14ac:dyDescent="0.2">
      <c r="A310" s="4"/>
      <c r="B310" s="4" t="s">
        <v>26</v>
      </c>
      <c r="C310" s="4"/>
      <c r="D310" s="4">
        <v>1.25</v>
      </c>
      <c r="E310" s="4"/>
      <c r="F310" s="4"/>
      <c r="G310" s="18">
        <f>G309+D310</f>
        <v>-52</v>
      </c>
      <c r="H310" s="4">
        <v>1.25</v>
      </c>
      <c r="I310" s="4"/>
      <c r="J310" s="4"/>
      <c r="K310" s="18">
        <f>K309+H310</f>
        <v>61</v>
      </c>
    </row>
    <row r="311" spans="1:11" x14ac:dyDescent="0.2">
      <c r="A311" s="4"/>
      <c r="B311" s="4" t="s">
        <v>19</v>
      </c>
      <c r="C311" s="4"/>
      <c r="D311" s="4">
        <v>1.25</v>
      </c>
      <c r="E311" s="4"/>
      <c r="F311" s="4"/>
      <c r="G311" s="18">
        <f>G310+D311</f>
        <v>-50.75</v>
      </c>
      <c r="H311" s="4">
        <v>1.25</v>
      </c>
      <c r="I311" s="4"/>
      <c r="J311" s="4"/>
      <c r="K311" s="18">
        <f t="shared" ref="K311:K313" si="6">K310+H311</f>
        <v>62.25</v>
      </c>
    </row>
    <row r="312" spans="1:11" x14ac:dyDescent="0.2">
      <c r="A312" s="4"/>
      <c r="B312" s="4" t="s">
        <v>20</v>
      </c>
      <c r="C312" s="4"/>
      <c r="D312" s="4">
        <v>1.25</v>
      </c>
      <c r="E312" s="4"/>
      <c r="F312" s="4"/>
      <c r="G312" s="18">
        <f>G311+D312</f>
        <v>-49.5</v>
      </c>
      <c r="H312" s="4">
        <v>1.25</v>
      </c>
      <c r="I312" s="4"/>
      <c r="J312" s="4"/>
      <c r="K312" s="18">
        <f t="shared" si="6"/>
        <v>63.5</v>
      </c>
    </row>
    <row r="313" spans="1:11" x14ac:dyDescent="0.2">
      <c r="A313" s="4"/>
      <c r="B313" s="4" t="s">
        <v>68</v>
      </c>
      <c r="C313" s="4"/>
      <c r="D313" s="4">
        <v>1.25</v>
      </c>
      <c r="E313" s="4"/>
      <c r="F313" s="4"/>
      <c r="G313" s="18">
        <f>G312+D313</f>
        <v>-48.25</v>
      </c>
      <c r="H313" s="4">
        <v>1.25</v>
      </c>
      <c r="I313" s="4"/>
      <c r="J313" s="4"/>
      <c r="K313" s="18">
        <f t="shared" si="6"/>
        <v>64.75</v>
      </c>
    </row>
    <row r="314" spans="1:11" x14ac:dyDescent="0.2">
      <c r="A314" s="4"/>
      <c r="B314" s="4" t="s">
        <v>72</v>
      </c>
      <c r="C314" s="4" t="s">
        <v>74</v>
      </c>
      <c r="D314" s="4"/>
      <c r="E314" s="4">
        <v>2</v>
      </c>
      <c r="F314" s="4"/>
      <c r="G314" s="18">
        <f>G313-E314</f>
        <v>-50.25</v>
      </c>
      <c r="H314" s="4"/>
      <c r="I314" s="4"/>
      <c r="J314" s="4"/>
      <c r="K314" s="4"/>
    </row>
    <row r="315" spans="1:11" x14ac:dyDescent="0.2">
      <c r="A315" s="4"/>
      <c r="B315" s="4" t="s">
        <v>69</v>
      </c>
      <c r="C315" s="4"/>
      <c r="D315" s="4">
        <v>1.25</v>
      </c>
      <c r="E315" s="4"/>
      <c r="F315" s="4"/>
      <c r="G315" s="18">
        <f>G314+D315</f>
        <v>-49</v>
      </c>
      <c r="H315" s="4">
        <v>1.25</v>
      </c>
      <c r="I315" s="4"/>
      <c r="J315" s="4"/>
      <c r="K315" s="18">
        <f>K313+H315</f>
        <v>66</v>
      </c>
    </row>
    <row r="316" spans="1:11" x14ac:dyDescent="0.2">
      <c r="A316" s="4"/>
      <c r="B316" s="4" t="s">
        <v>25</v>
      </c>
      <c r="C316" s="4"/>
      <c r="D316" s="4">
        <v>1.25</v>
      </c>
      <c r="E316" s="4"/>
      <c r="F316" s="4"/>
      <c r="G316" s="18">
        <f>G315+D316</f>
        <v>-47.75</v>
      </c>
      <c r="H316" s="4">
        <v>1.25</v>
      </c>
      <c r="I316" s="4"/>
      <c r="J316" s="4"/>
      <c r="K316" s="18">
        <f>K315+H316</f>
        <v>67.25</v>
      </c>
    </row>
    <row r="317" spans="1:11" x14ac:dyDescent="0.2">
      <c r="A317" s="4"/>
      <c r="B317" s="4" t="s">
        <v>21</v>
      </c>
      <c r="C317" s="4"/>
      <c r="D317" s="4">
        <v>1.25</v>
      </c>
      <c r="E317" s="4"/>
      <c r="F317" s="4"/>
      <c r="G317" s="18">
        <f t="shared" ref="G317:G320" si="7">G316+D317</f>
        <v>-46.5</v>
      </c>
      <c r="H317" s="4">
        <v>1.25</v>
      </c>
      <c r="I317" s="4"/>
      <c r="J317" s="4"/>
      <c r="K317" s="18">
        <f t="shared" ref="K317:K320" si="8">K316+H317</f>
        <v>68.5</v>
      </c>
    </row>
    <row r="318" spans="1:11" x14ac:dyDescent="0.2">
      <c r="A318" s="4"/>
      <c r="B318" s="4" t="s">
        <v>33</v>
      </c>
      <c r="C318" s="4"/>
      <c r="D318" s="4">
        <v>1.25</v>
      </c>
      <c r="E318" s="4"/>
      <c r="F318" s="4"/>
      <c r="G318" s="18">
        <f t="shared" si="7"/>
        <v>-45.25</v>
      </c>
      <c r="H318" s="4">
        <v>1.25</v>
      </c>
      <c r="I318" s="4"/>
      <c r="J318" s="4"/>
      <c r="K318" s="18">
        <f t="shared" si="8"/>
        <v>69.75</v>
      </c>
    </row>
    <row r="319" spans="1:11" x14ac:dyDescent="0.2">
      <c r="A319" s="4"/>
      <c r="B319" s="4" t="s">
        <v>22</v>
      </c>
      <c r="C319" s="4"/>
      <c r="D319" s="4">
        <v>1.25</v>
      </c>
      <c r="E319" s="4"/>
      <c r="F319" s="4"/>
      <c r="G319" s="18">
        <f t="shared" si="7"/>
        <v>-44</v>
      </c>
      <c r="H319" s="4">
        <v>1.25</v>
      </c>
      <c r="I319" s="4"/>
      <c r="J319" s="4"/>
      <c r="K319" s="18">
        <f t="shared" si="8"/>
        <v>71</v>
      </c>
    </row>
    <row r="320" spans="1:11" x14ac:dyDescent="0.2">
      <c r="A320" s="4"/>
      <c r="B320" s="4" t="s">
        <v>28</v>
      </c>
      <c r="C320" s="4"/>
      <c r="D320" s="4">
        <v>1.25</v>
      </c>
      <c r="E320" s="4"/>
      <c r="F320" s="4"/>
      <c r="G320" s="18">
        <f t="shared" si="7"/>
        <v>-42.75</v>
      </c>
      <c r="H320" s="4">
        <v>1.25</v>
      </c>
      <c r="I320" s="4"/>
      <c r="J320" s="4"/>
      <c r="K320" s="18">
        <f t="shared" si="8"/>
        <v>72.25</v>
      </c>
    </row>
    <row r="321" spans="1:11" x14ac:dyDescent="0.2">
      <c r="A321" s="4"/>
      <c r="B321" s="4" t="s">
        <v>73</v>
      </c>
      <c r="C321" s="4" t="s">
        <v>17</v>
      </c>
      <c r="D321" s="4"/>
      <c r="E321" s="4">
        <v>3</v>
      </c>
      <c r="F321" s="4"/>
      <c r="G321" s="18">
        <f>G320-E321</f>
        <v>-45.75</v>
      </c>
      <c r="H321" s="4"/>
      <c r="I321" s="4"/>
      <c r="J321" s="4"/>
      <c r="K321" s="4"/>
    </row>
    <row r="327" spans="1:11" ht="26.25" x14ac:dyDescent="0.2">
      <c r="A327" s="56" t="s">
        <v>0</v>
      </c>
      <c r="B327" s="57"/>
      <c r="C327" s="57"/>
      <c r="D327" s="57"/>
      <c r="E327" s="57"/>
      <c r="F327" s="57"/>
      <c r="G327" s="57"/>
      <c r="H327" s="57"/>
      <c r="I327" s="57"/>
      <c r="J327" s="57"/>
      <c r="K327" s="57"/>
    </row>
    <row r="328" spans="1:11" x14ac:dyDescent="0.2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" x14ac:dyDescent="0.25">
      <c r="A329" s="7" t="s">
        <v>1</v>
      </c>
      <c r="B329" s="58"/>
      <c r="C329" s="58"/>
      <c r="D329" s="58"/>
      <c r="E329" s="58"/>
      <c r="F329" s="8"/>
      <c r="G329" s="9" t="s">
        <v>2</v>
      </c>
      <c r="H329" s="58"/>
      <c r="I329" s="58"/>
      <c r="J329" s="58"/>
      <c r="K329" s="58"/>
    </row>
    <row r="330" spans="1:11" ht="15" x14ac:dyDescent="0.25">
      <c r="A330" s="7"/>
      <c r="B330" s="53" t="s">
        <v>3</v>
      </c>
      <c r="C330" s="53"/>
      <c r="D330" s="53" t="s">
        <v>4</v>
      </c>
      <c r="E330" s="53"/>
      <c r="F330" s="10" t="s">
        <v>5</v>
      </c>
      <c r="G330" s="9"/>
      <c r="H330" s="9"/>
      <c r="I330" s="9"/>
      <c r="J330" s="9"/>
      <c r="K330" s="9"/>
    </row>
    <row r="331" spans="1:11" ht="15.75" thickBot="1" x14ac:dyDescent="0.25">
      <c r="A331" s="11" t="s">
        <v>6</v>
      </c>
      <c r="B331" s="12"/>
      <c r="C331" s="12"/>
      <c r="D331" s="54"/>
      <c r="E331" s="54"/>
      <c r="F331" s="54"/>
      <c r="G331" s="10"/>
      <c r="H331" s="10"/>
      <c r="I331" s="10"/>
      <c r="J331" s="10"/>
      <c r="K331" s="10"/>
    </row>
    <row r="332" spans="1:11" ht="15.75" thickBot="1" x14ac:dyDescent="0.25">
      <c r="A332" s="55" t="s">
        <v>7</v>
      </c>
      <c r="B332" s="51"/>
      <c r="C332" s="51"/>
      <c r="D332" s="51" t="s">
        <v>8</v>
      </c>
      <c r="E332" s="51"/>
      <c r="F332" s="51"/>
      <c r="G332" s="51"/>
      <c r="H332" s="51" t="s">
        <v>9</v>
      </c>
      <c r="I332" s="51"/>
      <c r="J332" s="51"/>
      <c r="K332" s="52"/>
    </row>
    <row r="333" spans="1:11" ht="60" x14ac:dyDescent="0.2">
      <c r="A333" s="13" t="s">
        <v>10</v>
      </c>
      <c r="B333" s="14" t="s">
        <v>11</v>
      </c>
      <c r="C333" s="14" t="s">
        <v>12</v>
      </c>
      <c r="D333" s="14" t="s">
        <v>13</v>
      </c>
      <c r="E333" s="14" t="s">
        <v>14</v>
      </c>
      <c r="F333" s="14" t="s">
        <v>15</v>
      </c>
      <c r="G333" s="14" t="s">
        <v>16</v>
      </c>
      <c r="H333" s="14" t="s">
        <v>13</v>
      </c>
      <c r="I333" s="14" t="s">
        <v>14</v>
      </c>
      <c r="J333" s="14" t="s">
        <v>15</v>
      </c>
      <c r="K333" s="14" t="s">
        <v>16</v>
      </c>
    </row>
    <row r="334" spans="1:11" x14ac:dyDescent="0.2">
      <c r="A334" s="4"/>
      <c r="B334" s="4"/>
      <c r="C334" s="44" t="s">
        <v>27</v>
      </c>
      <c r="D334" s="45"/>
      <c r="E334" s="46"/>
      <c r="F334" s="4"/>
      <c r="G334" s="18">
        <f>G306</f>
        <v>-49.5</v>
      </c>
      <c r="H334" s="4"/>
      <c r="I334" s="4"/>
      <c r="J334" s="4"/>
      <c r="K334" s="18">
        <f>K319</f>
        <v>71</v>
      </c>
    </row>
    <row r="335" spans="1:11" x14ac:dyDescent="0.2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spans="1:11" x14ac:dyDescent="0.2">
      <c r="A336" s="25">
        <v>2020</v>
      </c>
      <c r="B336" s="25"/>
      <c r="C336" s="4"/>
      <c r="D336" s="4"/>
      <c r="E336" s="4"/>
      <c r="F336" s="4"/>
      <c r="G336" s="4"/>
      <c r="H336" s="4"/>
      <c r="I336" s="4"/>
      <c r="J336" s="4"/>
      <c r="K336" s="4"/>
    </row>
    <row r="337" spans="1:11" x14ac:dyDescent="0.2">
      <c r="A337" s="25"/>
      <c r="B337" s="25" t="s">
        <v>37</v>
      </c>
      <c r="C337" s="4"/>
      <c r="D337" s="4">
        <v>1.25</v>
      </c>
      <c r="E337" s="4"/>
      <c r="F337" s="4"/>
      <c r="G337" s="18">
        <f>G334+D337</f>
        <v>-48.25</v>
      </c>
      <c r="H337" s="4">
        <v>1.25</v>
      </c>
      <c r="I337" s="4"/>
      <c r="J337" s="4"/>
      <c r="K337" s="18">
        <f>K334+H337</f>
        <v>72.25</v>
      </c>
    </row>
    <row r="338" spans="1:11" x14ac:dyDescent="0.2">
      <c r="A338" s="25"/>
      <c r="B338" s="25" t="s">
        <v>35</v>
      </c>
      <c r="C338" s="4"/>
      <c r="D338" s="4">
        <v>1.25</v>
      </c>
      <c r="E338" s="4"/>
      <c r="F338" s="4"/>
      <c r="G338" s="18">
        <f>G337+D338</f>
        <v>-47</v>
      </c>
      <c r="H338" s="4">
        <v>1.25</v>
      </c>
      <c r="I338" s="4"/>
      <c r="J338" s="4"/>
      <c r="K338" s="18">
        <f>K337+H338</f>
        <v>73.5</v>
      </c>
    </row>
    <row r="339" spans="1:11" x14ac:dyDescent="0.2">
      <c r="A339" s="25"/>
      <c r="B339" s="25" t="s">
        <v>36</v>
      </c>
      <c r="C339" s="4"/>
      <c r="D339" s="4">
        <v>1.25</v>
      </c>
      <c r="E339" s="4"/>
      <c r="F339" s="4"/>
      <c r="G339" s="18">
        <f t="shared" ref="G339:G350" si="9">G338+D339</f>
        <v>-45.75</v>
      </c>
      <c r="H339" s="4">
        <v>1.25</v>
      </c>
      <c r="I339" s="4"/>
      <c r="J339" s="4"/>
      <c r="K339" s="18">
        <f t="shared" ref="K339:K344" si="10">K338+H339</f>
        <v>74.75</v>
      </c>
    </row>
    <row r="340" spans="1:11" x14ac:dyDescent="0.2">
      <c r="A340" s="25"/>
      <c r="B340" s="25" t="s">
        <v>19</v>
      </c>
      <c r="C340" s="4"/>
      <c r="D340" s="4">
        <v>1.25</v>
      </c>
      <c r="E340" s="4"/>
      <c r="F340" s="4"/>
      <c r="G340" s="18">
        <f t="shared" si="9"/>
        <v>-44.5</v>
      </c>
      <c r="H340" s="4">
        <v>1.25</v>
      </c>
      <c r="I340" s="4"/>
      <c r="J340" s="4"/>
      <c r="K340" s="18">
        <f t="shared" si="10"/>
        <v>76</v>
      </c>
    </row>
    <row r="341" spans="1:11" x14ac:dyDescent="0.2">
      <c r="A341" s="25"/>
      <c r="B341" s="25" t="s">
        <v>24</v>
      </c>
      <c r="C341" s="4"/>
      <c r="D341" s="4">
        <v>1.25</v>
      </c>
      <c r="E341" s="4"/>
      <c r="F341" s="4"/>
      <c r="G341" s="18">
        <f t="shared" si="9"/>
        <v>-43.25</v>
      </c>
      <c r="H341" s="4">
        <v>1.25</v>
      </c>
      <c r="I341" s="4"/>
      <c r="J341" s="4"/>
      <c r="K341" s="18">
        <f t="shared" si="10"/>
        <v>77.25</v>
      </c>
    </row>
    <row r="342" spans="1:11" x14ac:dyDescent="0.2">
      <c r="A342" s="25"/>
      <c r="B342" s="25" t="s">
        <v>48</v>
      </c>
      <c r="C342" s="4"/>
      <c r="D342" s="4">
        <v>1.25</v>
      </c>
      <c r="E342" s="4"/>
      <c r="F342" s="4"/>
      <c r="G342" s="18">
        <f t="shared" si="9"/>
        <v>-42</v>
      </c>
      <c r="H342" s="4">
        <v>1.25</v>
      </c>
      <c r="I342" s="4"/>
      <c r="J342" s="4"/>
      <c r="K342" s="18">
        <f t="shared" si="10"/>
        <v>78.5</v>
      </c>
    </row>
    <row r="343" spans="1:11" x14ac:dyDescent="0.2">
      <c r="A343" s="25"/>
      <c r="B343" s="25" t="s">
        <v>34</v>
      </c>
      <c r="C343" s="4"/>
      <c r="D343" s="4">
        <v>1.25</v>
      </c>
      <c r="E343" s="4"/>
      <c r="F343" s="4"/>
      <c r="G343" s="18">
        <f t="shared" si="9"/>
        <v>-40.75</v>
      </c>
      <c r="H343" s="4">
        <v>1.25</v>
      </c>
      <c r="I343" s="4"/>
      <c r="J343" s="4"/>
      <c r="K343" s="18">
        <f t="shared" si="10"/>
        <v>79.75</v>
      </c>
    </row>
    <row r="344" spans="1:11" ht="14.45" customHeight="1" x14ac:dyDescent="0.2">
      <c r="A344" s="25"/>
      <c r="B344" s="25" t="s">
        <v>38</v>
      </c>
      <c r="C344" s="4"/>
      <c r="D344" s="4">
        <v>1.25</v>
      </c>
      <c r="E344" s="4"/>
      <c r="F344" s="4"/>
      <c r="G344" s="18">
        <f t="shared" si="9"/>
        <v>-39.5</v>
      </c>
      <c r="H344" s="4">
        <v>1.25</v>
      </c>
      <c r="I344" s="4"/>
      <c r="J344" s="4"/>
      <c r="K344" s="18">
        <f t="shared" si="10"/>
        <v>81</v>
      </c>
    </row>
    <row r="345" spans="1:11" x14ac:dyDescent="0.2">
      <c r="A345" s="4"/>
      <c r="B345" s="4" t="s">
        <v>75</v>
      </c>
      <c r="C345" s="4" t="s">
        <v>50</v>
      </c>
      <c r="D345" s="4"/>
      <c r="E345" s="4">
        <v>1</v>
      </c>
      <c r="F345" s="4"/>
      <c r="G345" s="18">
        <f>G344-E345</f>
        <v>-40.5</v>
      </c>
      <c r="H345" s="4"/>
      <c r="I345" s="4"/>
      <c r="J345" s="4"/>
      <c r="K345" s="4"/>
    </row>
    <row r="346" spans="1:11" x14ac:dyDescent="0.2">
      <c r="A346" s="4"/>
      <c r="B346" s="4" t="s">
        <v>53</v>
      </c>
      <c r="C346" s="4"/>
      <c r="D346" s="4">
        <v>1.25</v>
      </c>
      <c r="E346" s="4"/>
      <c r="F346" s="4"/>
      <c r="G346" s="18">
        <f t="shared" si="9"/>
        <v>-39.25</v>
      </c>
      <c r="H346" s="4">
        <v>1.25</v>
      </c>
      <c r="I346" s="4"/>
      <c r="J346" s="4"/>
      <c r="K346" s="18">
        <f>K344+H346</f>
        <v>82.25</v>
      </c>
    </row>
    <row r="347" spans="1:11" x14ac:dyDescent="0.2">
      <c r="A347" s="4"/>
      <c r="B347" s="4" t="s">
        <v>33</v>
      </c>
      <c r="C347" s="4"/>
      <c r="D347" s="4">
        <v>1.25</v>
      </c>
      <c r="E347" s="4"/>
      <c r="F347" s="4"/>
      <c r="G347" s="18">
        <f t="shared" si="9"/>
        <v>-38</v>
      </c>
      <c r="H347" s="4">
        <v>1.25</v>
      </c>
      <c r="I347" s="4"/>
      <c r="J347" s="4"/>
      <c r="K347" s="18">
        <f t="shared" ref="K347:K348" si="11">K346+H347</f>
        <v>83.5</v>
      </c>
    </row>
    <row r="348" spans="1:11" x14ac:dyDescent="0.2">
      <c r="A348" s="4"/>
      <c r="B348" s="4" t="s">
        <v>76</v>
      </c>
      <c r="C348" s="4"/>
      <c r="D348" s="4">
        <v>1.25</v>
      </c>
      <c r="E348" s="4"/>
      <c r="F348" s="4"/>
      <c r="G348" s="18">
        <f t="shared" si="9"/>
        <v>-36.75</v>
      </c>
      <c r="H348" s="4">
        <v>1.25</v>
      </c>
      <c r="I348" s="4"/>
      <c r="J348" s="4"/>
      <c r="K348" s="18">
        <f t="shared" si="11"/>
        <v>84.75</v>
      </c>
    </row>
    <row r="349" spans="1:11" x14ac:dyDescent="0.2">
      <c r="A349" s="4"/>
      <c r="B349" s="4" t="s">
        <v>77</v>
      </c>
      <c r="C349" s="4" t="s">
        <v>17</v>
      </c>
      <c r="D349" s="4"/>
      <c r="E349" s="4">
        <v>3</v>
      </c>
      <c r="F349" s="4"/>
      <c r="G349" s="18">
        <f>G348-E349</f>
        <v>-39.75</v>
      </c>
      <c r="H349" s="4"/>
      <c r="I349" s="4"/>
      <c r="J349" s="4"/>
      <c r="K349" s="4"/>
    </row>
    <row r="350" spans="1:11" x14ac:dyDescent="0.2">
      <c r="A350" s="4"/>
      <c r="B350" s="4" t="s">
        <v>28</v>
      </c>
      <c r="C350" s="4"/>
      <c r="D350" s="4">
        <v>1.25</v>
      </c>
      <c r="E350" s="4"/>
      <c r="F350" s="4"/>
      <c r="G350" s="18">
        <f t="shared" si="9"/>
        <v>-38.5</v>
      </c>
      <c r="H350" s="4">
        <v>1.25</v>
      </c>
      <c r="I350" s="4"/>
      <c r="J350" s="4"/>
      <c r="K350" s="18">
        <f>K348+H350</f>
        <v>86</v>
      </c>
    </row>
    <row r="351" spans="1:11" x14ac:dyDescent="0.2">
      <c r="A351" s="4"/>
      <c r="B351" s="4"/>
      <c r="C351" s="4" t="s">
        <v>17</v>
      </c>
      <c r="D351" s="4"/>
      <c r="E351" s="4">
        <v>2</v>
      </c>
      <c r="F351" s="4"/>
      <c r="G351" s="18">
        <f>G350-E351</f>
        <v>-40.5</v>
      </c>
      <c r="H351" s="4"/>
      <c r="I351" s="4"/>
      <c r="J351" s="4"/>
      <c r="K351" s="4"/>
    </row>
    <row r="352" spans="1:11" x14ac:dyDescent="0.2">
      <c r="A352" s="4">
        <v>2021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x14ac:dyDescent="0.2">
      <c r="A353" s="4"/>
      <c r="B353" s="4" t="s">
        <v>32</v>
      </c>
      <c r="C353" s="4"/>
      <c r="D353" s="4">
        <v>1.25</v>
      </c>
      <c r="E353" s="4"/>
      <c r="F353" s="4"/>
      <c r="G353" s="18">
        <f>G351+D353</f>
        <v>-39.25</v>
      </c>
      <c r="H353" s="4">
        <v>1.25</v>
      </c>
      <c r="I353" s="4"/>
      <c r="J353" s="4"/>
      <c r="K353" s="18">
        <f>K350+H353</f>
        <v>87.25</v>
      </c>
    </row>
    <row r="354" spans="1:11" x14ac:dyDescent="0.2">
      <c r="A354" s="4"/>
      <c r="B354" s="4" t="s">
        <v>26</v>
      </c>
      <c r="C354" s="4" t="s">
        <v>18</v>
      </c>
      <c r="D354" s="4"/>
      <c r="E354" s="4"/>
      <c r="F354" s="4"/>
      <c r="G354" s="4"/>
      <c r="H354" s="4"/>
      <c r="I354" s="4"/>
      <c r="J354" s="4"/>
      <c r="K354" s="4"/>
    </row>
    <row r="355" spans="1:11" x14ac:dyDescent="0.2">
      <c r="A355" s="4"/>
      <c r="B355" s="4" t="s">
        <v>36</v>
      </c>
      <c r="C355" s="4"/>
      <c r="D355" s="4">
        <v>1.25</v>
      </c>
      <c r="E355" s="4"/>
      <c r="F355" s="4"/>
      <c r="G355" s="18">
        <f>G353+D355</f>
        <v>-38</v>
      </c>
      <c r="H355" s="4">
        <v>1.25</v>
      </c>
      <c r="I355" s="4"/>
      <c r="J355" s="4"/>
      <c r="K355" s="18">
        <f>K353+H355</f>
        <v>88.5</v>
      </c>
    </row>
    <row r="356" spans="1:11" x14ac:dyDescent="0.2">
      <c r="A356" s="4"/>
      <c r="B356" s="4" t="s">
        <v>19</v>
      </c>
      <c r="C356" s="4"/>
      <c r="D356" s="4">
        <v>1.25</v>
      </c>
      <c r="E356" s="4"/>
      <c r="F356" s="4"/>
      <c r="G356" s="18">
        <f>G355+D356</f>
        <v>-36.75</v>
      </c>
      <c r="H356" s="4">
        <v>1.25</v>
      </c>
      <c r="I356" s="4"/>
      <c r="J356" s="4"/>
      <c r="K356" s="18">
        <f>K355+H356</f>
        <v>89.75</v>
      </c>
    </row>
    <row r="357" spans="1:11" x14ac:dyDescent="0.2">
      <c r="A357" s="4"/>
      <c r="B357" s="4" t="s">
        <v>24</v>
      </c>
      <c r="C357" s="4"/>
      <c r="D357" s="4">
        <v>1.25</v>
      </c>
      <c r="E357" s="4"/>
      <c r="F357" s="4"/>
      <c r="G357" s="18">
        <f>G356+D357</f>
        <v>-35.5</v>
      </c>
      <c r="H357" s="4">
        <v>1.25</v>
      </c>
      <c r="I357" s="4"/>
      <c r="J357" s="4"/>
      <c r="K357" s="18">
        <f>K356+H357</f>
        <v>91</v>
      </c>
    </row>
    <row r="358" spans="1:11" x14ac:dyDescent="0.2">
      <c r="A358" s="4"/>
      <c r="B358" s="4" t="s">
        <v>83</v>
      </c>
      <c r="C358" s="4"/>
      <c r="D358" s="4">
        <v>1.25</v>
      </c>
      <c r="E358" s="4"/>
      <c r="F358" s="4"/>
      <c r="G358" s="18">
        <f>G357+D358</f>
        <v>-34.25</v>
      </c>
      <c r="H358" s="4">
        <v>1.25</v>
      </c>
      <c r="I358" s="4"/>
      <c r="J358" s="4"/>
      <c r="K358" s="18">
        <f>K357+H358</f>
        <v>92.25</v>
      </c>
    </row>
    <row r="359" spans="1:11" x14ac:dyDescent="0.2">
      <c r="A359" s="4"/>
      <c r="B359" s="4" t="s">
        <v>78</v>
      </c>
      <c r="C359" s="4" t="s">
        <v>18</v>
      </c>
      <c r="D359" s="4"/>
      <c r="E359" s="4"/>
      <c r="F359" s="4"/>
      <c r="G359" s="4"/>
      <c r="H359" s="4"/>
      <c r="I359" s="4"/>
      <c r="J359" s="4"/>
      <c r="K359" s="4"/>
    </row>
    <row r="360" spans="1:11" x14ac:dyDescent="0.2">
      <c r="A360" s="4"/>
      <c r="B360" s="4" t="s">
        <v>79</v>
      </c>
      <c r="C360" s="4" t="s">
        <v>18</v>
      </c>
      <c r="D360" s="4"/>
      <c r="E360" s="4"/>
      <c r="F360" s="4"/>
      <c r="G360" s="4"/>
      <c r="H360" s="4"/>
      <c r="I360" s="4"/>
      <c r="J360" s="4"/>
      <c r="K360" s="4"/>
    </row>
    <row r="361" spans="1:11" x14ac:dyDescent="0.2">
      <c r="A361" s="4"/>
      <c r="B361" s="4" t="s">
        <v>82</v>
      </c>
      <c r="C361" s="4" t="s">
        <v>18</v>
      </c>
      <c r="D361" s="4"/>
      <c r="E361" s="4"/>
      <c r="F361" s="4"/>
      <c r="G361" s="4"/>
      <c r="H361" s="4"/>
      <c r="I361" s="4"/>
      <c r="J361" s="4"/>
      <c r="K361" s="4"/>
    </row>
    <row r="362" spans="1:11" x14ac:dyDescent="0.2">
      <c r="A362" s="4"/>
      <c r="B362" s="4" t="s">
        <v>34</v>
      </c>
      <c r="C362" s="4"/>
      <c r="D362" s="4">
        <v>1.25</v>
      </c>
      <c r="E362" s="4"/>
      <c r="F362" s="4"/>
      <c r="G362" s="18">
        <f>G358+D362</f>
        <v>-33</v>
      </c>
      <c r="H362" s="4">
        <v>1.25</v>
      </c>
      <c r="I362" s="4"/>
      <c r="J362" s="4"/>
      <c r="K362" s="18">
        <f>K358+H362</f>
        <v>93.5</v>
      </c>
    </row>
    <row r="363" spans="1:11" x14ac:dyDescent="0.2">
      <c r="A363" s="4"/>
      <c r="B363" s="4" t="s">
        <v>80</v>
      </c>
      <c r="C363" s="4" t="s">
        <v>18</v>
      </c>
      <c r="D363" s="4"/>
      <c r="E363" s="4"/>
      <c r="F363" s="4"/>
      <c r="G363" s="4"/>
      <c r="H363" s="4"/>
      <c r="I363" s="4"/>
      <c r="J363" s="4"/>
      <c r="K363" s="4"/>
    </row>
    <row r="364" spans="1:11" x14ac:dyDescent="0.2">
      <c r="A364" s="4"/>
      <c r="B364" s="4" t="s">
        <v>81</v>
      </c>
      <c r="C364" s="4"/>
      <c r="D364" s="4"/>
      <c r="E364" s="4"/>
      <c r="F364" s="4"/>
      <c r="G364" s="4"/>
      <c r="H364" s="4"/>
      <c r="I364" s="4"/>
      <c r="J364" s="4"/>
      <c r="K364" s="4"/>
    </row>
    <row r="365" spans="1:11" x14ac:dyDescent="0.2">
      <c r="A365" s="4"/>
      <c r="B365" s="4" t="s">
        <v>25</v>
      </c>
      <c r="C365" s="4"/>
      <c r="D365" s="4">
        <v>1.25</v>
      </c>
      <c r="E365" s="4"/>
      <c r="F365" s="4"/>
      <c r="G365" s="18">
        <f>G362+D365</f>
        <v>-31.75</v>
      </c>
      <c r="H365" s="4">
        <v>1.25</v>
      </c>
      <c r="I365" s="4"/>
      <c r="J365" s="4"/>
      <c r="K365" s="18">
        <f>K362+H365</f>
        <v>94.75</v>
      </c>
    </row>
    <row r="366" spans="1:11" x14ac:dyDescent="0.2">
      <c r="A366" s="4"/>
      <c r="B366" s="4" t="s">
        <v>21</v>
      </c>
      <c r="C366" s="4"/>
      <c r="D366" s="4">
        <v>1.25</v>
      </c>
      <c r="E366" s="4"/>
      <c r="F366" s="4"/>
      <c r="G366" s="18">
        <f>G365+D366</f>
        <v>-30.5</v>
      </c>
      <c r="H366" s="4">
        <v>1.25</v>
      </c>
      <c r="I366" s="4"/>
      <c r="J366" s="4"/>
      <c r="K366" s="18">
        <f>K365+H366</f>
        <v>96</v>
      </c>
    </row>
    <row r="367" spans="1:11" x14ac:dyDescent="0.2">
      <c r="A367" s="4"/>
      <c r="B367" s="4" t="s">
        <v>33</v>
      </c>
      <c r="C367" s="4"/>
      <c r="D367" s="4">
        <v>1.25</v>
      </c>
      <c r="E367" s="4"/>
      <c r="F367" s="4"/>
      <c r="G367" s="18">
        <f>G366+D367</f>
        <v>-29.25</v>
      </c>
      <c r="H367" s="4">
        <v>1.25</v>
      </c>
      <c r="I367" s="4"/>
      <c r="J367" s="4"/>
      <c r="K367" s="18">
        <f>K366+H367</f>
        <v>97.25</v>
      </c>
    </row>
    <row r="368" spans="1:11" x14ac:dyDescent="0.2">
      <c r="A368" s="4"/>
      <c r="B368" s="4" t="s">
        <v>44</v>
      </c>
      <c r="C368" s="4"/>
      <c r="D368" s="4">
        <v>1.25</v>
      </c>
      <c r="E368" s="4"/>
      <c r="F368" s="4"/>
      <c r="G368" s="18">
        <f>G367+D368</f>
        <v>-28</v>
      </c>
      <c r="H368" s="4">
        <v>1.25</v>
      </c>
      <c r="I368" s="4"/>
      <c r="J368" s="4"/>
      <c r="K368" s="18">
        <f>K367+H368</f>
        <v>98.5</v>
      </c>
    </row>
    <row r="369" spans="1:11" x14ac:dyDescent="0.2">
      <c r="A369" s="4"/>
      <c r="B369" s="4" t="s">
        <v>28</v>
      </c>
      <c r="C369" s="4"/>
      <c r="D369" s="4">
        <v>1.25</v>
      </c>
      <c r="E369" s="4"/>
      <c r="F369" s="4"/>
      <c r="G369" s="18">
        <f>G368+D369</f>
        <v>-26.75</v>
      </c>
      <c r="H369" s="4">
        <v>1.25</v>
      </c>
      <c r="I369" s="4"/>
      <c r="J369" s="4"/>
      <c r="K369" s="18" t="s">
        <v>54</v>
      </c>
    </row>
    <row r="370" spans="1:11" x14ac:dyDescent="0.2">
      <c r="A370" s="4"/>
      <c r="B370" s="4"/>
      <c r="C370" s="4" t="s">
        <v>17</v>
      </c>
      <c r="D370" s="4"/>
      <c r="E370" s="4">
        <v>5</v>
      </c>
      <c r="F370" s="4"/>
      <c r="G370" s="18">
        <f>G369-E370</f>
        <v>-31.75</v>
      </c>
      <c r="H370" s="4"/>
      <c r="I370" s="4"/>
      <c r="J370" s="4"/>
      <c r="K370" s="4"/>
    </row>
    <row r="371" spans="1:11" x14ac:dyDescent="0.2">
      <c r="A371" s="4">
        <v>2022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spans="1:11" x14ac:dyDescent="0.2">
      <c r="A372" s="4"/>
      <c r="B372" s="4" t="s">
        <v>84</v>
      </c>
      <c r="C372" s="4" t="s">
        <v>50</v>
      </c>
      <c r="D372" s="4"/>
      <c r="E372" s="4">
        <v>1</v>
      </c>
      <c r="F372" s="4"/>
      <c r="G372" s="4"/>
      <c r="H372" s="4"/>
      <c r="I372" s="4"/>
      <c r="J372" s="4"/>
      <c r="K372" s="4"/>
    </row>
    <row r="373" spans="1:11" x14ac:dyDescent="0.2">
      <c r="A373" s="4"/>
      <c r="B373" s="16" t="s">
        <v>32</v>
      </c>
      <c r="C373" s="4"/>
      <c r="D373" s="4">
        <v>1.25</v>
      </c>
      <c r="E373" s="4"/>
      <c r="F373" s="4"/>
      <c r="G373" s="18">
        <f>G370+D373</f>
        <v>-30.5</v>
      </c>
      <c r="H373" s="4">
        <v>1.25</v>
      </c>
      <c r="I373" s="4"/>
      <c r="J373" s="4"/>
      <c r="K373" s="18">
        <f>K368+H373</f>
        <v>99.75</v>
      </c>
    </row>
    <row r="374" spans="1:11" x14ac:dyDescent="0.2">
      <c r="A374" s="4"/>
      <c r="B374" s="4" t="s">
        <v>26</v>
      </c>
      <c r="C374" s="4"/>
      <c r="D374" s="4">
        <v>1.25</v>
      </c>
      <c r="E374" s="4"/>
      <c r="F374" s="4"/>
      <c r="G374" s="18">
        <f>G373+D374</f>
        <v>-29.25</v>
      </c>
      <c r="H374" s="4">
        <v>1.25</v>
      </c>
      <c r="I374" s="4"/>
      <c r="J374" s="4"/>
      <c r="K374" s="18">
        <f>K373+H374</f>
        <v>101</v>
      </c>
    </row>
    <row r="375" spans="1:11" x14ac:dyDescent="0.2">
      <c r="A375" s="4"/>
      <c r="B375" s="4" t="s">
        <v>36</v>
      </c>
      <c r="C375" s="4"/>
      <c r="D375" s="4">
        <v>1.25</v>
      </c>
      <c r="E375" s="4"/>
      <c r="F375" s="4"/>
      <c r="G375" s="18">
        <f t="shared" ref="G375:G378" si="12">G374+D375</f>
        <v>-28</v>
      </c>
      <c r="H375" s="4">
        <v>1.25</v>
      </c>
      <c r="I375" s="4"/>
      <c r="J375" s="4"/>
      <c r="K375" s="18">
        <f t="shared" ref="K375:K378" si="13">K374+H375</f>
        <v>102.25</v>
      </c>
    </row>
    <row r="376" spans="1:11" x14ac:dyDescent="0.2">
      <c r="A376" s="4"/>
      <c r="B376" s="4" t="s">
        <v>19</v>
      </c>
      <c r="C376" s="4"/>
      <c r="D376" s="4">
        <v>1.25</v>
      </c>
      <c r="E376" s="4"/>
      <c r="F376" s="4"/>
      <c r="G376" s="18">
        <f t="shared" si="12"/>
        <v>-26.75</v>
      </c>
      <c r="H376" s="4">
        <v>1.25</v>
      </c>
      <c r="I376" s="4"/>
      <c r="J376" s="4"/>
      <c r="K376" s="18">
        <f t="shared" si="13"/>
        <v>103.5</v>
      </c>
    </row>
    <row r="377" spans="1:11" x14ac:dyDescent="0.2">
      <c r="A377" s="4"/>
      <c r="B377" s="4" t="s">
        <v>24</v>
      </c>
      <c r="C377" s="4"/>
      <c r="D377" s="4">
        <v>1.25</v>
      </c>
      <c r="E377" s="4"/>
      <c r="F377" s="4"/>
      <c r="G377" s="18">
        <f t="shared" si="12"/>
        <v>-25.5</v>
      </c>
      <c r="H377" s="4">
        <v>1.25</v>
      </c>
      <c r="I377" s="4"/>
      <c r="J377" s="4"/>
      <c r="K377" s="18">
        <f t="shared" si="13"/>
        <v>104.75</v>
      </c>
    </row>
    <row r="378" spans="1:11" x14ac:dyDescent="0.2">
      <c r="A378" s="4"/>
      <c r="B378" s="4" t="s">
        <v>48</v>
      </c>
      <c r="C378" s="4"/>
      <c r="D378" s="4">
        <v>1.25</v>
      </c>
      <c r="E378" s="4"/>
      <c r="F378" s="4"/>
      <c r="G378" s="18">
        <f t="shared" si="12"/>
        <v>-24.25</v>
      </c>
      <c r="H378" s="4">
        <v>1.25</v>
      </c>
      <c r="I378" s="4"/>
      <c r="J378" s="4"/>
      <c r="K378" s="18">
        <f t="shared" si="13"/>
        <v>106</v>
      </c>
    </row>
    <row r="379" spans="1:11" x14ac:dyDescent="0.2">
      <c r="A379" s="4"/>
      <c r="B379" s="4" t="s">
        <v>85</v>
      </c>
      <c r="C379" s="4" t="s">
        <v>88</v>
      </c>
      <c r="D379" s="4"/>
      <c r="E379" s="4">
        <v>0.38300000000000001</v>
      </c>
      <c r="F379" s="4"/>
      <c r="G379" s="18">
        <f>G378-E379</f>
        <v>-24.632999999999999</v>
      </c>
      <c r="H379" s="4"/>
      <c r="I379" s="4"/>
      <c r="J379" s="4"/>
      <c r="K379" s="4"/>
    </row>
    <row r="380" spans="1:11" x14ac:dyDescent="0.2">
      <c r="A380" s="4"/>
      <c r="B380" s="4" t="s">
        <v>34</v>
      </c>
      <c r="C380" s="4"/>
      <c r="D380" s="4">
        <v>1.25</v>
      </c>
      <c r="E380" s="4"/>
      <c r="F380" s="4"/>
      <c r="G380" s="18">
        <f>G379+D380</f>
        <v>-23.382999999999999</v>
      </c>
      <c r="H380" s="4">
        <v>1.25</v>
      </c>
      <c r="I380" s="4"/>
      <c r="J380" s="4"/>
      <c r="K380" s="18">
        <f>K378+H380</f>
        <v>107.25</v>
      </c>
    </row>
    <row r="381" spans="1:11" x14ac:dyDescent="0.2">
      <c r="A381" s="4"/>
      <c r="B381" s="4" t="s">
        <v>86</v>
      </c>
      <c r="C381" s="4" t="s">
        <v>50</v>
      </c>
      <c r="D381" s="4"/>
      <c r="E381" s="4">
        <v>1</v>
      </c>
      <c r="F381" s="4"/>
      <c r="G381" s="4"/>
      <c r="H381" s="4"/>
      <c r="I381" s="4"/>
      <c r="J381" s="4"/>
      <c r="K381" s="4"/>
    </row>
    <row r="382" spans="1:11" x14ac:dyDescent="0.2">
      <c r="A382" s="4"/>
      <c r="B382" s="4" t="s">
        <v>25</v>
      </c>
      <c r="C382" s="4"/>
      <c r="D382" s="4">
        <v>1.25</v>
      </c>
      <c r="E382" s="4"/>
      <c r="F382" s="4"/>
      <c r="G382" s="18">
        <f>G380+D382</f>
        <v>-22.132999999999999</v>
      </c>
      <c r="H382" s="4">
        <v>1.25</v>
      </c>
      <c r="I382" s="4"/>
      <c r="J382" s="4"/>
      <c r="K382" s="18">
        <f>K380+H382</f>
        <v>108.5</v>
      </c>
    </row>
    <row r="383" spans="1:11" x14ac:dyDescent="0.2">
      <c r="A383" s="4"/>
      <c r="B383" s="4" t="s">
        <v>86</v>
      </c>
      <c r="C383" s="4"/>
      <c r="D383" s="4">
        <v>1.25</v>
      </c>
      <c r="E383" s="4"/>
      <c r="F383" s="4"/>
      <c r="G383" s="18">
        <f>G382+D383</f>
        <v>-20.882999999999999</v>
      </c>
      <c r="H383" s="4">
        <v>1.25</v>
      </c>
      <c r="I383" s="4"/>
      <c r="J383" s="4"/>
      <c r="K383" s="18">
        <f>K382+H383</f>
        <v>109.75</v>
      </c>
    </row>
    <row r="384" spans="1:11" x14ac:dyDescent="0.2">
      <c r="A384" s="4"/>
      <c r="B384" s="4" t="s">
        <v>25</v>
      </c>
      <c r="C384" s="4"/>
      <c r="D384" s="4">
        <v>1.25</v>
      </c>
      <c r="E384" s="4"/>
      <c r="F384" s="4"/>
      <c r="G384" s="18">
        <f>G383+D384</f>
        <v>-19.632999999999999</v>
      </c>
      <c r="H384" s="4">
        <v>1.25</v>
      </c>
      <c r="I384" s="4"/>
      <c r="J384" s="4"/>
      <c r="K384" s="18">
        <f>K383+H384</f>
        <v>111</v>
      </c>
    </row>
    <row r="385" spans="1:11" x14ac:dyDescent="0.2">
      <c r="A385" s="4"/>
      <c r="B385" s="4" t="s">
        <v>21</v>
      </c>
      <c r="C385" s="4"/>
      <c r="D385" s="4">
        <v>1.25</v>
      </c>
      <c r="E385" s="4"/>
      <c r="F385" s="4"/>
      <c r="G385" s="18">
        <f>G384+D385</f>
        <v>-18.382999999999999</v>
      </c>
      <c r="H385" s="4">
        <v>1.25</v>
      </c>
      <c r="I385" s="4"/>
      <c r="J385" s="4"/>
      <c r="K385" s="18">
        <f>K384+H385</f>
        <v>112.25</v>
      </c>
    </row>
    <row r="386" spans="1:11" x14ac:dyDescent="0.2">
      <c r="A386" s="4"/>
      <c r="B386" s="4" t="s">
        <v>33</v>
      </c>
      <c r="C386" s="4"/>
      <c r="D386" s="4">
        <v>1.25</v>
      </c>
      <c r="E386" s="4"/>
      <c r="F386" s="4"/>
      <c r="G386" s="18">
        <f>G385+D386</f>
        <v>-17.132999999999999</v>
      </c>
      <c r="H386" s="4">
        <v>1.25</v>
      </c>
      <c r="I386" s="4"/>
      <c r="J386" s="4"/>
      <c r="K386" s="18">
        <f>K385+H386</f>
        <v>113.5</v>
      </c>
    </row>
    <row r="393" spans="1:11" ht="26.25" x14ac:dyDescent="0.2">
      <c r="A393" s="56" t="s">
        <v>0</v>
      </c>
      <c r="B393" s="57"/>
      <c r="C393" s="57"/>
      <c r="D393" s="57"/>
      <c r="E393" s="57"/>
      <c r="F393" s="57"/>
      <c r="G393" s="57"/>
      <c r="H393" s="57"/>
      <c r="I393" s="57"/>
      <c r="J393" s="57"/>
      <c r="K393" s="57"/>
    </row>
    <row r="394" spans="1:11" x14ac:dyDescent="0.2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" x14ac:dyDescent="0.25">
      <c r="A395" s="7" t="s">
        <v>1</v>
      </c>
      <c r="B395" s="58"/>
      <c r="C395" s="58"/>
      <c r="D395" s="58"/>
      <c r="E395" s="58"/>
      <c r="F395" s="8"/>
      <c r="G395" s="9" t="s">
        <v>2</v>
      </c>
      <c r="H395" s="58"/>
      <c r="I395" s="58"/>
      <c r="J395" s="58"/>
      <c r="K395" s="58"/>
    </row>
    <row r="396" spans="1:11" ht="15" x14ac:dyDescent="0.25">
      <c r="A396" s="7"/>
      <c r="B396" s="53" t="s">
        <v>3</v>
      </c>
      <c r="C396" s="53"/>
      <c r="D396" s="53" t="s">
        <v>4</v>
      </c>
      <c r="E396" s="53"/>
      <c r="F396" s="10" t="s">
        <v>5</v>
      </c>
      <c r="G396" s="9"/>
      <c r="H396" s="9"/>
      <c r="I396" s="9"/>
      <c r="J396" s="9"/>
      <c r="K396" s="9"/>
    </row>
    <row r="397" spans="1:11" ht="15.75" thickBot="1" x14ac:dyDescent="0.25">
      <c r="A397" s="11" t="s">
        <v>6</v>
      </c>
      <c r="B397" s="12"/>
      <c r="C397" s="12"/>
      <c r="D397" s="54"/>
      <c r="E397" s="54"/>
      <c r="F397" s="54"/>
      <c r="G397" s="10"/>
      <c r="H397" s="10"/>
      <c r="I397" s="10"/>
      <c r="J397" s="10"/>
      <c r="K397" s="10"/>
    </row>
    <row r="398" spans="1:11" ht="15.75" thickBot="1" x14ac:dyDescent="0.25">
      <c r="A398" s="55" t="s">
        <v>7</v>
      </c>
      <c r="B398" s="51"/>
      <c r="C398" s="51"/>
      <c r="D398" s="51" t="s">
        <v>8</v>
      </c>
      <c r="E398" s="51"/>
      <c r="F398" s="51"/>
      <c r="G398" s="51"/>
      <c r="H398" s="51" t="s">
        <v>9</v>
      </c>
      <c r="I398" s="51"/>
      <c r="J398" s="51"/>
      <c r="K398" s="52"/>
    </row>
    <row r="399" spans="1:11" ht="60" x14ac:dyDescent="0.2">
      <c r="A399" s="13" t="s">
        <v>10</v>
      </c>
      <c r="B399" s="14" t="s">
        <v>11</v>
      </c>
      <c r="C399" s="14" t="s">
        <v>12</v>
      </c>
      <c r="D399" s="14" t="s">
        <v>13</v>
      </c>
      <c r="E399" s="14" t="s">
        <v>14</v>
      </c>
      <c r="F399" s="14" t="s">
        <v>15</v>
      </c>
      <c r="G399" s="14" t="s">
        <v>16</v>
      </c>
      <c r="H399" s="14" t="s">
        <v>13</v>
      </c>
      <c r="I399" s="14" t="s">
        <v>14</v>
      </c>
      <c r="J399" s="14" t="s">
        <v>15</v>
      </c>
      <c r="K399" s="14" t="s">
        <v>16</v>
      </c>
    </row>
    <row r="400" spans="1:11" x14ac:dyDescent="0.2">
      <c r="A400" s="4"/>
      <c r="B400" s="4"/>
      <c r="C400" s="44" t="s">
        <v>27</v>
      </c>
      <c r="D400" s="45"/>
      <c r="E400" s="46"/>
      <c r="F400" s="4"/>
      <c r="G400" s="18">
        <f>G386</f>
        <v>-17.132999999999999</v>
      </c>
      <c r="H400" s="4"/>
      <c r="I400" s="4"/>
      <c r="J400" s="4"/>
      <c r="K400" s="18">
        <f>K386</f>
        <v>113.5</v>
      </c>
    </row>
    <row r="401" spans="1:11" x14ac:dyDescent="0.2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spans="1:11" x14ac:dyDescent="0.2">
      <c r="A402" s="25"/>
      <c r="B402" s="25" t="s">
        <v>89</v>
      </c>
      <c r="C402" s="4"/>
      <c r="D402" s="4">
        <v>1.25</v>
      </c>
      <c r="E402" s="4"/>
      <c r="F402" s="4"/>
      <c r="G402" s="18">
        <f>G400+D402</f>
        <v>-15.882999999999999</v>
      </c>
      <c r="H402" s="4">
        <v>1.25</v>
      </c>
      <c r="I402" s="4"/>
      <c r="J402" s="4"/>
      <c r="K402" s="18">
        <f>K400+H402</f>
        <v>114.75</v>
      </c>
    </row>
    <row r="403" spans="1:11" x14ac:dyDescent="0.2">
      <c r="A403" s="25"/>
      <c r="B403" s="25" t="s">
        <v>87</v>
      </c>
      <c r="C403" s="4" t="s">
        <v>91</v>
      </c>
      <c r="D403" s="4"/>
      <c r="E403" s="4">
        <v>5</v>
      </c>
      <c r="F403" s="4"/>
      <c r="G403" s="18">
        <f>G402-E403</f>
        <v>-20.882999999999999</v>
      </c>
      <c r="H403" s="4"/>
      <c r="I403" s="4"/>
      <c r="J403" s="4"/>
      <c r="K403" s="18"/>
    </row>
    <row r="404" spans="1:11" x14ac:dyDescent="0.2">
      <c r="A404" s="25"/>
      <c r="B404" s="25" t="s">
        <v>47</v>
      </c>
      <c r="C404" s="4" t="s">
        <v>50</v>
      </c>
      <c r="D404" s="4"/>
      <c r="E404" s="4">
        <v>1</v>
      </c>
      <c r="F404" s="4"/>
      <c r="G404" s="18"/>
      <c r="H404" s="4"/>
      <c r="I404" s="4"/>
      <c r="J404" s="4"/>
      <c r="K404" s="18"/>
    </row>
    <row r="405" spans="1:11" x14ac:dyDescent="0.2">
      <c r="A405" s="25"/>
      <c r="B405" s="25" t="s">
        <v>90</v>
      </c>
      <c r="C405" s="4" t="s">
        <v>49</v>
      </c>
      <c r="D405" s="4"/>
      <c r="E405" s="4">
        <v>9.4E-2</v>
      </c>
      <c r="F405" s="4"/>
      <c r="G405" s="18">
        <f>G403-E405</f>
        <v>-20.977</v>
      </c>
      <c r="H405" s="4"/>
      <c r="I405" s="4"/>
      <c r="J405" s="4"/>
      <c r="K405" s="18"/>
    </row>
    <row r="406" spans="1:11" x14ac:dyDescent="0.2">
      <c r="A406" s="25"/>
      <c r="B406" s="25" t="s">
        <v>28</v>
      </c>
      <c r="C406" s="4"/>
      <c r="D406" s="4">
        <v>1.25</v>
      </c>
      <c r="E406" s="4"/>
      <c r="F406" s="4"/>
      <c r="G406" s="18">
        <f>G405+D406</f>
        <v>-19.727</v>
      </c>
      <c r="H406" s="4">
        <v>1.25</v>
      </c>
      <c r="I406" s="4"/>
      <c r="J406" s="4"/>
      <c r="K406" s="18">
        <f>K402+H406</f>
        <v>116</v>
      </c>
    </row>
    <row r="407" spans="1:11" x14ac:dyDescent="0.2">
      <c r="A407" s="6" t="s">
        <v>92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spans="1:11" x14ac:dyDescent="0.2">
      <c r="A408" s="25"/>
      <c r="B408" s="25" t="s">
        <v>32</v>
      </c>
      <c r="C408" s="4"/>
      <c r="D408" s="4">
        <v>1.25</v>
      </c>
      <c r="E408" s="4"/>
      <c r="F408" s="4"/>
      <c r="G408" s="18">
        <f>G406-D408</f>
        <v>-20.977</v>
      </c>
      <c r="H408" s="4">
        <v>1.25</v>
      </c>
      <c r="I408" s="4"/>
      <c r="J408" s="4"/>
      <c r="K408" s="18">
        <f>K406+H408</f>
        <v>117.25</v>
      </c>
    </row>
    <row r="409" spans="1:11" x14ac:dyDescent="0.2">
      <c r="A409" s="25"/>
      <c r="B409" s="25" t="s">
        <v>26</v>
      </c>
      <c r="C409" s="4"/>
      <c r="D409" s="4">
        <v>1.25</v>
      </c>
      <c r="E409" s="4"/>
      <c r="F409" s="4"/>
      <c r="G409" s="18">
        <f>G408-D409</f>
        <v>-22.227</v>
      </c>
      <c r="H409" s="4">
        <v>1.25</v>
      </c>
      <c r="I409" s="4"/>
      <c r="J409" s="4"/>
      <c r="K409" s="18">
        <f>K408+H409</f>
        <v>118.5</v>
      </c>
    </row>
    <row r="410" spans="1:11" x14ac:dyDescent="0.2">
      <c r="A410" s="25"/>
      <c r="B410" s="25" t="s">
        <v>93</v>
      </c>
      <c r="C410" s="4"/>
      <c r="D410" s="4">
        <v>1.25</v>
      </c>
      <c r="E410" s="4"/>
      <c r="F410" s="4"/>
      <c r="G410" s="18">
        <f t="shared" ref="G410:G418" si="14">G409-D410</f>
        <v>-23.477</v>
      </c>
      <c r="H410" s="4">
        <v>1.25</v>
      </c>
      <c r="I410" s="4"/>
      <c r="J410" s="4"/>
      <c r="K410" s="18">
        <f>K409+H410</f>
        <v>119.75</v>
      </c>
    </row>
    <row r="411" spans="1:11" x14ac:dyDescent="0.2">
      <c r="A411" s="25"/>
      <c r="B411" s="25" t="s">
        <v>19</v>
      </c>
      <c r="C411" s="4"/>
      <c r="D411" s="4">
        <v>1.25</v>
      </c>
      <c r="E411" s="4"/>
      <c r="F411" s="4"/>
      <c r="G411" s="18">
        <f t="shared" si="14"/>
        <v>-24.727</v>
      </c>
      <c r="H411" s="4">
        <v>1.25</v>
      </c>
      <c r="I411" s="4"/>
      <c r="J411" s="4"/>
      <c r="K411" s="18">
        <f t="shared" ref="K411:K418" si="15">K410+H411</f>
        <v>121</v>
      </c>
    </row>
    <row r="412" spans="1:11" x14ac:dyDescent="0.2">
      <c r="A412" s="25"/>
      <c r="B412" s="25" t="s">
        <v>20</v>
      </c>
      <c r="C412" s="4"/>
      <c r="D412" s="4">
        <v>1.25</v>
      </c>
      <c r="E412" s="4"/>
      <c r="F412" s="4"/>
      <c r="G412" s="18">
        <f t="shared" si="14"/>
        <v>-25.977</v>
      </c>
      <c r="H412" s="4">
        <v>1.25</v>
      </c>
      <c r="I412" s="4"/>
      <c r="J412" s="4"/>
      <c r="K412" s="18">
        <f t="shared" si="15"/>
        <v>122.25</v>
      </c>
    </row>
    <row r="413" spans="1:11" x14ac:dyDescent="0.2">
      <c r="B413" s="4" t="s">
        <v>68</v>
      </c>
      <c r="C413" s="4"/>
      <c r="D413" s="4">
        <v>1.25</v>
      </c>
      <c r="E413" s="4"/>
      <c r="F413" s="4"/>
      <c r="G413" s="18">
        <f t="shared" si="14"/>
        <v>-27.227</v>
      </c>
      <c r="H413" s="4">
        <v>1.25</v>
      </c>
      <c r="I413" s="4"/>
      <c r="J413" s="4"/>
      <c r="K413" s="18">
        <f t="shared" si="15"/>
        <v>123.5</v>
      </c>
    </row>
    <row r="414" spans="1:11" x14ac:dyDescent="0.2">
      <c r="A414" s="25"/>
      <c r="B414" s="25" t="s">
        <v>69</v>
      </c>
      <c r="C414" s="4"/>
      <c r="D414" s="4">
        <v>1.25</v>
      </c>
      <c r="E414" s="4"/>
      <c r="F414" s="4"/>
      <c r="G414" s="18">
        <f t="shared" si="14"/>
        <v>-28.477</v>
      </c>
      <c r="H414" s="4">
        <v>1.25</v>
      </c>
      <c r="I414" s="4"/>
      <c r="J414" s="4"/>
      <c r="K414" s="18">
        <f t="shared" si="15"/>
        <v>124.75</v>
      </c>
    </row>
    <row r="415" spans="1:11" x14ac:dyDescent="0.2">
      <c r="A415" s="25"/>
      <c r="B415" s="25" t="s">
        <v>25</v>
      </c>
      <c r="C415" s="4"/>
      <c r="D415" s="4">
        <v>1.25</v>
      </c>
      <c r="E415" s="4"/>
      <c r="F415" s="4"/>
      <c r="G415" s="18">
        <f t="shared" si="14"/>
        <v>-29.727</v>
      </c>
      <c r="H415" s="4">
        <v>1.25</v>
      </c>
      <c r="I415" s="4"/>
      <c r="J415" s="4"/>
      <c r="K415" s="18">
        <f t="shared" si="15"/>
        <v>126</v>
      </c>
    </row>
    <row r="416" spans="1:11" x14ac:dyDescent="0.2">
      <c r="A416" s="25"/>
      <c r="B416" s="25" t="s">
        <v>21</v>
      </c>
      <c r="C416" s="4"/>
      <c r="D416" s="4">
        <v>1.25</v>
      </c>
      <c r="E416" s="4"/>
      <c r="F416" s="4"/>
      <c r="G416" s="18">
        <f t="shared" si="14"/>
        <v>-30.977</v>
      </c>
      <c r="H416" s="4">
        <v>1.25</v>
      </c>
      <c r="I416" s="4"/>
      <c r="J416" s="4"/>
      <c r="K416" s="18">
        <f t="shared" si="15"/>
        <v>127.25</v>
      </c>
    </row>
    <row r="417" spans="1:11" x14ac:dyDescent="0.2">
      <c r="A417" s="25"/>
      <c r="B417" s="25" t="s">
        <v>33</v>
      </c>
      <c r="C417" s="4"/>
      <c r="D417" s="4">
        <v>1.25</v>
      </c>
      <c r="E417" s="4"/>
      <c r="F417" s="4"/>
      <c r="G417" s="18">
        <f t="shared" si="14"/>
        <v>-32.227000000000004</v>
      </c>
      <c r="H417" s="4">
        <v>1.25</v>
      </c>
      <c r="I417" s="4"/>
      <c r="J417" s="4"/>
      <c r="K417" s="18">
        <f t="shared" si="15"/>
        <v>128.5</v>
      </c>
    </row>
    <row r="418" spans="1:11" x14ac:dyDescent="0.2">
      <c r="A418" s="25"/>
      <c r="B418" s="25" t="s">
        <v>89</v>
      </c>
      <c r="C418" s="4"/>
      <c r="D418" s="4">
        <v>1.25</v>
      </c>
      <c r="E418" s="4"/>
      <c r="F418" s="4"/>
      <c r="G418" s="18">
        <f t="shared" si="14"/>
        <v>-33.477000000000004</v>
      </c>
      <c r="H418" s="4">
        <v>1.25</v>
      </c>
      <c r="I418" s="4"/>
      <c r="J418" s="4"/>
      <c r="K418" s="18">
        <f t="shared" si="15"/>
        <v>129.75</v>
      </c>
    </row>
    <row r="419" spans="1:11" x14ac:dyDescent="0.2">
      <c r="B419" s="4" t="s">
        <v>94</v>
      </c>
      <c r="C419" s="4" t="s">
        <v>95</v>
      </c>
      <c r="D419" s="4"/>
      <c r="E419" s="4">
        <v>3</v>
      </c>
      <c r="F419" s="4"/>
      <c r="G419" s="18">
        <f>G418-E419</f>
        <v>-36.477000000000004</v>
      </c>
      <c r="H419" s="4"/>
      <c r="I419" s="4"/>
      <c r="J419" s="4"/>
      <c r="K419" s="4"/>
    </row>
    <row r="420" spans="1:11" x14ac:dyDescent="0.2">
      <c r="A420" s="25"/>
      <c r="B420" s="25"/>
      <c r="C420" s="4" t="s">
        <v>17</v>
      </c>
      <c r="D420" s="4"/>
      <c r="E420" s="4">
        <v>2</v>
      </c>
      <c r="F420" s="4"/>
      <c r="G420" s="18">
        <f>G419-E420</f>
        <v>-38.477000000000004</v>
      </c>
      <c r="H420" s="4"/>
      <c r="I420" s="4"/>
      <c r="J420" s="4"/>
      <c r="K420" s="4"/>
    </row>
    <row r="421" spans="1:11" x14ac:dyDescent="0.2">
      <c r="A421" s="25"/>
      <c r="B421" s="25"/>
      <c r="C421" s="4" t="s">
        <v>23</v>
      </c>
      <c r="D421" s="4"/>
      <c r="E421" s="4">
        <v>30</v>
      </c>
      <c r="F421" s="4"/>
      <c r="G421" s="18">
        <f>G420-E421</f>
        <v>-68.477000000000004</v>
      </c>
      <c r="H421" s="4"/>
      <c r="I421" s="4"/>
      <c r="J421" s="4"/>
      <c r="K421" s="18"/>
    </row>
    <row r="422" spans="1:11" x14ac:dyDescent="0.2">
      <c r="A422" s="25"/>
      <c r="B422" s="26" t="s">
        <v>97</v>
      </c>
      <c r="C422" s="4" t="s">
        <v>50</v>
      </c>
      <c r="D422" s="4"/>
      <c r="E422" s="4">
        <v>1</v>
      </c>
      <c r="F422" s="4"/>
      <c r="G422" s="18"/>
      <c r="H422" s="4"/>
      <c r="I422" s="4"/>
      <c r="J422" s="4"/>
      <c r="K422" s="18"/>
    </row>
    <row r="423" spans="1:11" x14ac:dyDescent="0.2">
      <c r="A423" s="25"/>
      <c r="B423" s="25" t="s">
        <v>98</v>
      </c>
      <c r="C423" s="4" t="s">
        <v>101</v>
      </c>
      <c r="D423" s="4"/>
      <c r="E423" s="4">
        <v>0.10199999999999999</v>
      </c>
      <c r="F423" s="4"/>
      <c r="G423" s="18">
        <f>G421-E423</f>
        <v>-68.579000000000008</v>
      </c>
      <c r="H423" s="4"/>
      <c r="I423" s="4"/>
      <c r="J423" s="4"/>
      <c r="K423" s="18"/>
    </row>
    <row r="424" spans="1:11" x14ac:dyDescent="0.2">
      <c r="A424" s="25"/>
      <c r="B424" s="25" t="s">
        <v>99</v>
      </c>
      <c r="C424" s="4" t="s">
        <v>102</v>
      </c>
      <c r="D424" s="4"/>
      <c r="E424" s="4">
        <v>0.59599999999999997</v>
      </c>
      <c r="F424" s="4"/>
      <c r="G424" s="18">
        <f>G423-E424</f>
        <v>-69.175000000000011</v>
      </c>
      <c r="H424" s="4"/>
      <c r="I424" s="4"/>
      <c r="J424" s="4"/>
      <c r="K424" s="18"/>
    </row>
    <row r="425" spans="1:11" x14ac:dyDescent="0.2">
      <c r="B425" s="4" t="s">
        <v>51</v>
      </c>
      <c r="C425" s="4" t="s">
        <v>96</v>
      </c>
      <c r="D425" s="4"/>
      <c r="E425" s="4">
        <v>0.40400000000000003</v>
      </c>
      <c r="F425" s="4"/>
      <c r="G425" s="18">
        <f>G424-E425</f>
        <v>-69.579000000000008</v>
      </c>
      <c r="H425" s="4"/>
      <c r="I425" s="4"/>
      <c r="J425" s="4"/>
      <c r="K425" s="4"/>
    </row>
    <row r="426" spans="1:11" x14ac:dyDescent="0.2">
      <c r="A426" s="25"/>
      <c r="B426" s="25" t="s">
        <v>100</v>
      </c>
      <c r="C426" s="4" t="s">
        <v>103</v>
      </c>
      <c r="D426" s="4"/>
      <c r="E426" s="4">
        <v>0.312</v>
      </c>
      <c r="F426" s="4"/>
      <c r="G426" s="18">
        <f>G425-E426</f>
        <v>-69.891000000000005</v>
      </c>
      <c r="H426" s="4"/>
      <c r="I426" s="4"/>
      <c r="J426" s="4"/>
      <c r="K426" s="4"/>
    </row>
    <row r="427" spans="1:11" x14ac:dyDescent="0.2">
      <c r="A427" s="25"/>
      <c r="B427" s="25" t="s">
        <v>28</v>
      </c>
      <c r="C427" s="4"/>
      <c r="D427" s="4">
        <v>1.25</v>
      </c>
      <c r="E427" s="4"/>
      <c r="F427" s="4"/>
      <c r="G427" s="18">
        <f>G426+D427</f>
        <v>-68.641000000000005</v>
      </c>
      <c r="H427" s="4">
        <v>1.25</v>
      </c>
      <c r="I427" s="4"/>
      <c r="J427" s="4"/>
      <c r="K427" s="18">
        <f>K418+H427</f>
        <v>131</v>
      </c>
    </row>
    <row r="428" spans="1:11" x14ac:dyDescent="0.2">
      <c r="A428" s="25">
        <v>2024</v>
      </c>
      <c r="B428" s="25"/>
      <c r="C428" s="4"/>
      <c r="D428" s="4"/>
      <c r="E428" s="4"/>
      <c r="F428" s="4"/>
      <c r="G428" s="18"/>
      <c r="H428" s="4"/>
      <c r="I428" s="4"/>
      <c r="J428" s="4"/>
      <c r="K428" s="18"/>
    </row>
    <row r="429" spans="1:11" x14ac:dyDescent="0.2">
      <c r="A429" s="25"/>
      <c r="B429" s="25" t="s">
        <v>32</v>
      </c>
      <c r="C429" s="4"/>
      <c r="D429" s="4">
        <v>1.25</v>
      </c>
      <c r="E429" s="4"/>
      <c r="F429" s="4"/>
      <c r="G429" s="18">
        <f>G427+D429</f>
        <v>-67.391000000000005</v>
      </c>
      <c r="H429" s="4">
        <v>1.25</v>
      </c>
      <c r="I429" s="4"/>
      <c r="J429" s="4"/>
      <c r="K429" s="18">
        <f>K427+H429</f>
        <v>132.25</v>
      </c>
    </row>
    <row r="430" spans="1:11" x14ac:dyDescent="0.2">
      <c r="A430" s="25"/>
      <c r="B430" s="25" t="s">
        <v>104</v>
      </c>
      <c r="C430" s="4"/>
      <c r="D430" s="4">
        <v>3.75</v>
      </c>
      <c r="E430" s="4"/>
      <c r="F430" s="4"/>
      <c r="G430" s="18">
        <f>G429+D430</f>
        <v>-63.641000000000005</v>
      </c>
      <c r="H430" s="4">
        <v>3.75</v>
      </c>
      <c r="I430" s="4"/>
      <c r="J430" s="4"/>
      <c r="K430" s="18">
        <f>K429+H430</f>
        <v>136</v>
      </c>
    </row>
    <row r="431" spans="1:11" x14ac:dyDescent="0.2">
      <c r="B431" s="4" t="s">
        <v>24</v>
      </c>
      <c r="C431" s="4"/>
      <c r="D431" s="4">
        <v>1.25</v>
      </c>
      <c r="E431" s="4"/>
      <c r="F431" s="4"/>
      <c r="G431" s="18">
        <f>G430+D431</f>
        <v>-62.391000000000005</v>
      </c>
      <c r="H431" s="4">
        <v>1.25</v>
      </c>
      <c r="I431" s="4"/>
      <c r="J431" s="4"/>
      <c r="K431" s="18">
        <f t="shared" ref="K431:K433" si="16">K430+H431</f>
        <v>137.25</v>
      </c>
    </row>
    <row r="432" spans="1:11" x14ac:dyDescent="0.2">
      <c r="A432" s="25"/>
      <c r="B432" s="25" t="s">
        <v>29</v>
      </c>
      <c r="C432" s="4"/>
      <c r="D432" s="4">
        <v>1.25</v>
      </c>
      <c r="E432" s="4"/>
      <c r="F432" s="4"/>
      <c r="G432" s="18">
        <f>G431+D432</f>
        <v>-61.141000000000005</v>
      </c>
      <c r="H432" s="4">
        <v>1.25</v>
      </c>
      <c r="I432" s="4"/>
      <c r="J432" s="4"/>
      <c r="K432" s="18">
        <f t="shared" si="16"/>
        <v>138.5</v>
      </c>
    </row>
    <row r="433" spans="1:11" x14ac:dyDescent="0.2">
      <c r="A433" s="25"/>
      <c r="B433" s="25" t="s">
        <v>34</v>
      </c>
      <c r="C433" s="4"/>
      <c r="D433" s="4">
        <v>1.25</v>
      </c>
      <c r="E433" s="4"/>
      <c r="F433" s="4"/>
      <c r="G433" s="18">
        <f>G432+D433</f>
        <v>-59.891000000000005</v>
      </c>
      <c r="H433" s="4">
        <v>1.25</v>
      </c>
      <c r="I433" s="4"/>
      <c r="J433" s="4"/>
      <c r="K433" s="18">
        <f t="shared" si="16"/>
        <v>139.75</v>
      </c>
    </row>
    <row r="434" spans="1:11" x14ac:dyDescent="0.2">
      <c r="A434" s="25"/>
      <c r="B434" s="27" t="s">
        <v>108</v>
      </c>
      <c r="C434" s="4" t="s">
        <v>17</v>
      </c>
      <c r="D434" s="4"/>
      <c r="E434" s="4">
        <v>2</v>
      </c>
      <c r="F434" s="4"/>
      <c r="G434" s="18">
        <f>G433-E434</f>
        <v>-61.891000000000005</v>
      </c>
      <c r="H434" s="4"/>
      <c r="I434" s="4"/>
      <c r="J434" s="4"/>
      <c r="K434" s="18"/>
    </row>
    <row r="435" spans="1:11" x14ac:dyDescent="0.2">
      <c r="A435" s="25"/>
      <c r="B435" s="25" t="s">
        <v>105</v>
      </c>
      <c r="C435" s="4"/>
      <c r="D435" s="4">
        <v>2.5</v>
      </c>
      <c r="E435" s="4"/>
      <c r="F435" s="4"/>
      <c r="G435" s="18">
        <f>G434+D435</f>
        <v>-59.391000000000005</v>
      </c>
      <c r="H435" s="4">
        <v>2.5</v>
      </c>
      <c r="I435" s="4"/>
      <c r="J435" s="4"/>
      <c r="K435" s="18">
        <f>K433+H435</f>
        <v>142.25</v>
      </c>
    </row>
    <row r="436" spans="1:11" x14ac:dyDescent="0.2">
      <c r="A436" s="25"/>
      <c r="B436" s="25" t="s">
        <v>106</v>
      </c>
      <c r="C436" s="4"/>
      <c r="D436" s="4">
        <v>2.5</v>
      </c>
      <c r="E436" s="4"/>
      <c r="F436" s="4"/>
      <c r="G436" s="18">
        <f>G435+D436</f>
        <v>-56.891000000000005</v>
      </c>
      <c r="H436" s="4">
        <v>2.5</v>
      </c>
      <c r="I436" s="4"/>
      <c r="J436" s="4"/>
      <c r="K436" s="18">
        <f t="shared" ref="K436" si="17">K435+H436</f>
        <v>144.75</v>
      </c>
    </row>
    <row r="437" spans="1:11" x14ac:dyDescent="0.2">
      <c r="B437" s="4" t="s">
        <v>107</v>
      </c>
      <c r="C437" s="4" t="s">
        <v>17</v>
      </c>
      <c r="D437" s="4"/>
      <c r="E437" s="4">
        <v>1</v>
      </c>
      <c r="F437" s="4"/>
      <c r="G437" s="18">
        <f>G436-E437</f>
        <v>-57.891000000000005</v>
      </c>
      <c r="H437" s="4"/>
      <c r="I437" s="4"/>
      <c r="J437" s="4"/>
      <c r="K437" s="4"/>
    </row>
    <row r="438" spans="1:11" x14ac:dyDescent="0.2">
      <c r="A438" s="25"/>
      <c r="B438" s="25" t="s">
        <v>28</v>
      </c>
      <c r="C438" s="4"/>
      <c r="D438" s="4">
        <v>1.25</v>
      </c>
      <c r="E438" s="4"/>
      <c r="F438" s="4"/>
      <c r="G438" s="18">
        <f>G437+D438</f>
        <v>-56.641000000000005</v>
      </c>
      <c r="H438" s="4">
        <v>1.25</v>
      </c>
      <c r="I438" s="4"/>
      <c r="J438" s="4"/>
      <c r="K438" s="18"/>
    </row>
    <row r="439" spans="1:11" x14ac:dyDescent="0.2">
      <c r="A439" s="25"/>
      <c r="B439" s="25"/>
      <c r="C439" s="4" t="s">
        <v>17</v>
      </c>
      <c r="D439" s="4"/>
      <c r="E439" s="4">
        <v>2</v>
      </c>
      <c r="F439" s="4"/>
      <c r="G439" s="18">
        <f>G438-E439</f>
        <v>-58.641000000000005</v>
      </c>
      <c r="H439" s="4"/>
      <c r="I439" s="4"/>
      <c r="J439" s="4"/>
      <c r="K439" s="18"/>
    </row>
    <row r="440" spans="1:11" x14ac:dyDescent="0.2">
      <c r="A440" s="25"/>
      <c r="B440" s="25"/>
      <c r="C440" s="4"/>
      <c r="D440" s="4"/>
      <c r="E440" s="4"/>
      <c r="F440" s="4"/>
      <c r="G440" s="18"/>
      <c r="H440" s="4"/>
      <c r="I440" s="4"/>
      <c r="J440" s="4"/>
      <c r="K440" s="18"/>
    </row>
    <row r="441" spans="1:11" x14ac:dyDescent="0.2">
      <c r="A441" s="25"/>
      <c r="B441" s="25"/>
      <c r="C441" s="4"/>
      <c r="D441" s="4"/>
      <c r="E441" s="4"/>
      <c r="F441" s="4"/>
      <c r="G441" s="18"/>
      <c r="H441" s="4"/>
      <c r="I441" s="4"/>
      <c r="J441" s="4"/>
      <c r="K441" s="18"/>
    </row>
    <row r="442" spans="1:11" x14ac:dyDescent="0.2">
      <c r="A442" s="25"/>
      <c r="B442" s="25"/>
      <c r="C442" s="4"/>
      <c r="D442" s="4"/>
      <c r="E442" s="4"/>
      <c r="F442" s="4"/>
      <c r="G442" s="18"/>
      <c r="H442" s="4"/>
      <c r="I442" s="4"/>
      <c r="J442" s="4"/>
      <c r="K442" s="18"/>
    </row>
    <row r="443" spans="1:11" x14ac:dyDescent="0.2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spans="1:11" x14ac:dyDescent="0.2">
      <c r="A444" s="25"/>
      <c r="B444" s="25"/>
      <c r="C444" s="4"/>
      <c r="D444" s="4"/>
      <c r="E444" s="4"/>
      <c r="F444" s="4"/>
      <c r="G444" s="4"/>
      <c r="H444" s="4"/>
      <c r="I444" s="4"/>
      <c r="J444" s="4"/>
      <c r="K444" s="4"/>
    </row>
    <row r="445" spans="1:11" x14ac:dyDescent="0.2">
      <c r="A445" s="25"/>
      <c r="B445" s="25"/>
      <c r="C445" s="4"/>
      <c r="D445" s="4"/>
      <c r="E445" s="4"/>
      <c r="F445" s="4"/>
      <c r="G445" s="18"/>
      <c r="H445" s="4"/>
      <c r="I445" s="4"/>
      <c r="J445" s="4"/>
      <c r="K445" s="18"/>
    </row>
    <row r="446" spans="1:11" x14ac:dyDescent="0.2">
      <c r="A446" s="25"/>
      <c r="B446" s="25"/>
      <c r="C446" s="4"/>
      <c r="D446" s="4"/>
      <c r="E446" s="4"/>
      <c r="F446" s="4"/>
      <c r="G446" s="18"/>
      <c r="H446" s="4"/>
      <c r="I446" s="4"/>
      <c r="J446" s="4"/>
      <c r="K446" s="18"/>
    </row>
    <row r="447" spans="1:11" x14ac:dyDescent="0.2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spans="1:11" x14ac:dyDescent="0.2">
      <c r="A448" s="25"/>
      <c r="B448" s="25"/>
      <c r="C448" s="4"/>
      <c r="D448" s="4"/>
      <c r="E448" s="4"/>
      <c r="F448" s="4"/>
      <c r="G448" s="4"/>
      <c r="H448" s="4"/>
      <c r="I448" s="4"/>
      <c r="J448" s="4"/>
      <c r="K448" s="4"/>
    </row>
    <row r="449" spans="1:11" x14ac:dyDescent="0.2">
      <c r="A449" s="25"/>
      <c r="B449" s="25"/>
      <c r="C449" s="4"/>
      <c r="D449" s="4"/>
      <c r="E449" s="4"/>
      <c r="F449" s="4"/>
      <c r="G449" s="18"/>
      <c r="H449" s="4"/>
      <c r="I449" s="4"/>
      <c r="J449" s="4"/>
      <c r="K449" s="18"/>
    </row>
    <row r="450" spans="1:11" x14ac:dyDescent="0.2">
      <c r="A450" s="25"/>
      <c r="B450" s="25"/>
      <c r="C450" s="4"/>
      <c r="D450" s="4"/>
      <c r="E450" s="4"/>
      <c r="F450" s="4"/>
      <c r="G450" s="18"/>
      <c r="H450" s="4"/>
      <c r="I450" s="4"/>
      <c r="J450" s="4"/>
      <c r="K450" s="18"/>
    </row>
    <row r="451" spans="1:11" x14ac:dyDescent="0.2">
      <c r="A451" s="25"/>
      <c r="B451" s="25"/>
      <c r="C451" s="4"/>
      <c r="D451" s="4"/>
      <c r="E451" s="4"/>
      <c r="F451" s="4"/>
      <c r="G451" s="18"/>
      <c r="H451" s="4"/>
      <c r="I451" s="4"/>
      <c r="J451" s="4"/>
      <c r="K451" s="18"/>
    </row>
    <row r="452" spans="1:11" x14ac:dyDescent="0.2">
      <c r="A452" s="25"/>
      <c r="B452" s="25"/>
      <c r="C452" s="4"/>
      <c r="D452" s="4"/>
      <c r="E452" s="4"/>
      <c r="F452" s="4"/>
      <c r="G452" s="18"/>
      <c r="H452" s="4"/>
      <c r="I452" s="4"/>
      <c r="J452" s="4"/>
      <c r="K452" s="18"/>
    </row>
  </sheetData>
  <mergeCells count="95">
    <mergeCell ref="H398:K398"/>
    <mergeCell ref="C400:E400"/>
    <mergeCell ref="B396:C396"/>
    <mergeCell ref="D396:E396"/>
    <mergeCell ref="D397:F397"/>
    <mergeCell ref="A398:C398"/>
    <mergeCell ref="D398:G398"/>
    <mergeCell ref="A393:K393"/>
    <mergeCell ref="B395:C395"/>
    <mergeCell ref="D395:E395"/>
    <mergeCell ref="H395:K395"/>
    <mergeCell ref="B69:C69"/>
    <mergeCell ref="D69:E69"/>
    <mergeCell ref="D70:F70"/>
    <mergeCell ref="A71:C71"/>
    <mergeCell ref="D71:G71"/>
    <mergeCell ref="H71:K71"/>
    <mergeCell ref="A131:K131"/>
    <mergeCell ref="B133:C133"/>
    <mergeCell ref="D133:E133"/>
    <mergeCell ref="H133:K133"/>
    <mergeCell ref="B8:D8"/>
    <mergeCell ref="A66:K66"/>
    <mergeCell ref="B68:C68"/>
    <mergeCell ref="D68:E68"/>
    <mergeCell ref="H68:K68"/>
    <mergeCell ref="C11:C12"/>
    <mergeCell ref="C16:F16"/>
    <mergeCell ref="C17:F17"/>
    <mergeCell ref="B20:D20"/>
    <mergeCell ref="B25:C25"/>
    <mergeCell ref="C37:C38"/>
    <mergeCell ref="C31:C32"/>
    <mergeCell ref="A6:C6"/>
    <mergeCell ref="D5:F5"/>
    <mergeCell ref="A1:K1"/>
    <mergeCell ref="B3:C3"/>
    <mergeCell ref="D3:E3"/>
    <mergeCell ref="B4:C4"/>
    <mergeCell ref="D4:E4"/>
    <mergeCell ref="H3:K3"/>
    <mergeCell ref="D6:G6"/>
    <mergeCell ref="H6:K6"/>
    <mergeCell ref="B134:C134"/>
    <mergeCell ref="D134:E134"/>
    <mergeCell ref="D135:F135"/>
    <mergeCell ref="A136:C136"/>
    <mergeCell ref="D136:G136"/>
    <mergeCell ref="H136:K136"/>
    <mergeCell ref="C138:E138"/>
    <mergeCell ref="A198:K198"/>
    <mergeCell ref="B200:C200"/>
    <mergeCell ref="D200:E200"/>
    <mergeCell ref="H200:K200"/>
    <mergeCell ref="B201:C201"/>
    <mergeCell ref="D201:E201"/>
    <mergeCell ref="D202:F202"/>
    <mergeCell ref="A203:C203"/>
    <mergeCell ref="D203:G203"/>
    <mergeCell ref="H203:K203"/>
    <mergeCell ref="C205:E205"/>
    <mergeCell ref="A263:K263"/>
    <mergeCell ref="B265:C265"/>
    <mergeCell ref="D265:E265"/>
    <mergeCell ref="H265:K265"/>
    <mergeCell ref="B266:C266"/>
    <mergeCell ref="D266:E266"/>
    <mergeCell ref="D267:F267"/>
    <mergeCell ref="A268:C268"/>
    <mergeCell ref="D268:G268"/>
    <mergeCell ref="H268:K268"/>
    <mergeCell ref="C270:E270"/>
    <mergeCell ref="A327:K327"/>
    <mergeCell ref="B329:C329"/>
    <mergeCell ref="D329:E329"/>
    <mergeCell ref="H329:K329"/>
    <mergeCell ref="H332:K332"/>
    <mergeCell ref="C334:E334"/>
    <mergeCell ref="B330:C330"/>
    <mergeCell ref="D330:E330"/>
    <mergeCell ref="D331:F331"/>
    <mergeCell ref="A332:C332"/>
    <mergeCell ref="D332:G332"/>
    <mergeCell ref="K37:K38"/>
    <mergeCell ref="K39:K40"/>
    <mergeCell ref="C75:F75"/>
    <mergeCell ref="B86:D86"/>
    <mergeCell ref="C97:I97"/>
    <mergeCell ref="I39:I40"/>
    <mergeCell ref="I51:I52"/>
    <mergeCell ref="H37:H38"/>
    <mergeCell ref="C39:C40"/>
    <mergeCell ref="C48:C49"/>
    <mergeCell ref="C51:C52"/>
    <mergeCell ref="C73:E73"/>
  </mergeCells>
  <pageMargins left="0.38" right="0.37" top="0.33" bottom="0.43" header="0.3" footer="0.3"/>
  <pageSetup paperSize="256" scale="72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zoomScale="92" zoomScaleNormal="92" workbookViewId="0">
      <selection activeCell="K30" sqref="K30"/>
    </sheetView>
  </sheetViews>
  <sheetFormatPr defaultRowHeight="15" x14ac:dyDescent="0.25"/>
  <cols>
    <col min="2" max="2" width="10.7109375" customWidth="1"/>
  </cols>
  <sheetData>
    <row r="1" spans="1:11" ht="26.25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x14ac:dyDescent="0.25">
      <c r="A2" s="3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7" t="s">
        <v>1</v>
      </c>
      <c r="B3" s="58"/>
      <c r="C3" s="58"/>
      <c r="D3" s="58"/>
      <c r="E3" s="58"/>
      <c r="F3" s="8"/>
      <c r="G3" s="9" t="s">
        <v>2</v>
      </c>
      <c r="H3" s="58"/>
      <c r="I3" s="58"/>
      <c r="J3" s="58"/>
      <c r="K3" s="58"/>
    </row>
    <row r="4" spans="1:11" x14ac:dyDescent="0.25">
      <c r="A4" s="7"/>
      <c r="B4" s="53" t="s">
        <v>3</v>
      </c>
      <c r="C4" s="53"/>
      <c r="D4" s="53" t="s">
        <v>4</v>
      </c>
      <c r="E4" s="53"/>
      <c r="F4" s="10" t="s">
        <v>5</v>
      </c>
      <c r="G4" s="9"/>
      <c r="H4" s="9"/>
      <c r="I4" s="9"/>
      <c r="J4" s="9"/>
      <c r="K4" s="9"/>
    </row>
    <row r="5" spans="1:11" ht="15.75" thickBot="1" x14ac:dyDescent="0.3">
      <c r="A5" s="11" t="s">
        <v>6</v>
      </c>
      <c r="B5" s="12"/>
      <c r="C5" s="12"/>
      <c r="D5" s="54"/>
      <c r="E5" s="54"/>
      <c r="F5" s="54"/>
      <c r="G5" s="10"/>
      <c r="H5" s="10"/>
      <c r="I5" s="10"/>
      <c r="J5" s="10"/>
      <c r="K5" s="10"/>
    </row>
    <row r="6" spans="1:11" ht="15.75" thickBot="1" x14ac:dyDescent="0.3">
      <c r="A6" s="55" t="s">
        <v>7</v>
      </c>
      <c r="B6" s="51"/>
      <c r="C6" s="51"/>
      <c r="D6" s="51" t="s">
        <v>8</v>
      </c>
      <c r="E6" s="51"/>
      <c r="F6" s="51"/>
      <c r="G6" s="51"/>
      <c r="H6" s="51" t="s">
        <v>9</v>
      </c>
      <c r="I6" s="51"/>
      <c r="J6" s="51"/>
      <c r="K6" s="52"/>
    </row>
    <row r="7" spans="1:11" ht="90" x14ac:dyDescent="0.25">
      <c r="A7" s="13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4" t="s">
        <v>13</v>
      </c>
      <c r="I7" s="14" t="s">
        <v>14</v>
      </c>
      <c r="J7" s="14" t="s">
        <v>15</v>
      </c>
      <c r="K7" s="14" t="s">
        <v>16</v>
      </c>
    </row>
    <row r="8" spans="1:11" x14ac:dyDescent="0.25">
      <c r="A8" s="4"/>
      <c r="B8" s="4"/>
      <c r="C8" s="44"/>
      <c r="D8" s="45"/>
      <c r="E8" s="46"/>
      <c r="F8" s="4"/>
      <c r="G8" s="4"/>
      <c r="H8" s="4"/>
      <c r="I8" s="4"/>
      <c r="J8" s="4"/>
      <c r="K8" s="4">
        <v>5</v>
      </c>
    </row>
    <row r="9" spans="1:11" x14ac:dyDescent="0.25">
      <c r="A9" s="4">
        <v>2022</v>
      </c>
      <c r="B9" s="44" t="s">
        <v>109</v>
      </c>
      <c r="C9" s="45"/>
      <c r="D9" s="45"/>
      <c r="E9" s="45"/>
      <c r="F9" s="45"/>
      <c r="G9" s="45"/>
      <c r="H9" s="45"/>
      <c r="I9" s="45"/>
      <c r="J9" s="46"/>
      <c r="K9" s="4"/>
    </row>
    <row r="10" spans="1:11" x14ac:dyDescent="0.25">
      <c r="A10" s="69" t="s">
        <v>110</v>
      </c>
      <c r="B10" s="70"/>
      <c r="C10" s="70"/>
      <c r="D10" s="70"/>
      <c r="E10" s="70"/>
      <c r="F10" s="70"/>
      <c r="G10" s="70"/>
      <c r="H10" s="70"/>
      <c r="I10" s="70"/>
      <c r="J10" s="70"/>
      <c r="K10" s="71"/>
    </row>
    <row r="11" spans="1:11" x14ac:dyDescent="0.25">
      <c r="A11" s="4"/>
      <c r="B11" s="4"/>
      <c r="C11" s="4"/>
      <c r="D11" s="4"/>
      <c r="E11" s="4"/>
      <c r="F11" s="4"/>
      <c r="G11" s="4">
        <v>5.9560000000000004</v>
      </c>
      <c r="H11" s="4"/>
      <c r="I11" s="4"/>
      <c r="J11" s="4"/>
      <c r="K11" s="4">
        <f>K8+G11</f>
        <v>10.956</v>
      </c>
    </row>
    <row r="12" spans="1:11" x14ac:dyDescent="0.25">
      <c r="A12" s="4">
        <v>2023</v>
      </c>
      <c r="B12" s="28"/>
      <c r="C12" s="29"/>
      <c r="D12" s="29"/>
      <c r="E12" s="29"/>
      <c r="F12" s="29"/>
      <c r="G12" s="29"/>
      <c r="H12" s="29">
        <v>1</v>
      </c>
      <c r="I12" s="29"/>
      <c r="J12" s="20"/>
      <c r="K12" s="4">
        <f>K11-H12</f>
        <v>9.9559999999999995</v>
      </c>
    </row>
    <row r="13" spans="1:11" x14ac:dyDescent="0.25">
      <c r="A13" s="4"/>
      <c r="B13" s="28" t="s">
        <v>111</v>
      </c>
      <c r="C13" s="29" t="s">
        <v>18</v>
      </c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4">
        <v>2024</v>
      </c>
      <c r="B14" s="28"/>
      <c r="C14" s="29"/>
      <c r="D14" s="29"/>
      <c r="E14" s="29"/>
      <c r="F14" s="29"/>
      <c r="G14" s="29"/>
      <c r="H14" s="29"/>
      <c r="I14" s="29"/>
      <c r="J14" s="30"/>
      <c r="K14" s="4"/>
    </row>
    <row r="15" spans="1:11" x14ac:dyDescent="0.25">
      <c r="A15" s="4"/>
      <c r="B15" s="28" t="s">
        <v>112</v>
      </c>
      <c r="C15" s="29" t="s">
        <v>18</v>
      </c>
      <c r="D15" s="29"/>
      <c r="E15" s="29"/>
      <c r="F15" s="29"/>
      <c r="G15" s="29"/>
      <c r="H15" s="29"/>
      <c r="I15" s="29"/>
      <c r="J15" s="30">
        <v>1</v>
      </c>
      <c r="K15" s="4">
        <f>K12-J15</f>
        <v>8.9559999999999995</v>
      </c>
    </row>
    <row r="16" spans="1:11" x14ac:dyDescent="0.25">
      <c r="A16" s="4"/>
      <c r="B16" s="4" t="s">
        <v>113</v>
      </c>
      <c r="C16" s="4" t="s">
        <v>31</v>
      </c>
      <c r="D16" s="4"/>
      <c r="E16" s="4"/>
      <c r="F16" s="4"/>
      <c r="G16" s="4"/>
      <c r="H16" s="4"/>
      <c r="I16" s="4"/>
      <c r="J16">
        <v>1</v>
      </c>
      <c r="K16" s="4">
        <f>K15-J16</f>
        <v>7.9559999999999995</v>
      </c>
    </row>
    <row r="17" spans="1:11" x14ac:dyDescent="0.25">
      <c r="A17" s="4"/>
      <c r="B17" s="4" t="s">
        <v>114</v>
      </c>
      <c r="C17" s="4" t="s">
        <v>31</v>
      </c>
      <c r="D17" s="4"/>
      <c r="E17" s="4"/>
      <c r="F17" s="4"/>
      <c r="G17" s="4"/>
      <c r="H17" s="4"/>
      <c r="I17" s="4"/>
      <c r="J17" s="4">
        <v>1</v>
      </c>
      <c r="K17" s="4">
        <f>K16-J17</f>
        <v>6.9559999999999995</v>
      </c>
    </row>
    <row r="18" spans="1:11" x14ac:dyDescent="0.25">
      <c r="A18" s="4"/>
      <c r="B18" s="17"/>
      <c r="C18" s="4"/>
      <c r="D18" s="4"/>
      <c r="E18" s="4"/>
      <c r="F18" s="4"/>
      <c r="G18" s="4"/>
      <c r="H18" s="4"/>
      <c r="I18" s="4"/>
      <c r="K18" s="4"/>
    </row>
    <row r="19" spans="1:11" x14ac:dyDescent="0.25">
      <c r="A19" s="4"/>
      <c r="B19" s="66" t="s">
        <v>115</v>
      </c>
      <c r="C19" s="67"/>
      <c r="D19" s="67"/>
      <c r="E19" s="67"/>
      <c r="F19" s="67"/>
      <c r="G19" s="67"/>
      <c r="H19" s="67"/>
      <c r="I19" s="67"/>
      <c r="J19" s="68"/>
      <c r="K19" s="4"/>
    </row>
    <row r="20" spans="1:11" x14ac:dyDescent="0.25">
      <c r="A20" s="4"/>
      <c r="B20" s="4"/>
      <c r="C20" s="4"/>
      <c r="D20" s="4"/>
      <c r="E20" s="4"/>
      <c r="F20" s="4">
        <v>5</v>
      </c>
      <c r="G20" s="4" t="s">
        <v>116</v>
      </c>
      <c r="H20" s="4"/>
      <c r="I20" s="4"/>
      <c r="J20" s="4"/>
      <c r="K20" s="4">
        <f>K17+F20</f>
        <v>11.956</v>
      </c>
    </row>
    <row r="21" spans="1:11" x14ac:dyDescent="0.25">
      <c r="A21" s="4">
        <v>2025</v>
      </c>
      <c r="B21" s="4"/>
      <c r="C21" s="4"/>
      <c r="D21" s="4"/>
      <c r="E21" s="4"/>
      <c r="F21" s="4"/>
      <c r="G21" s="4"/>
      <c r="H21" s="4"/>
      <c r="I21" s="4"/>
      <c r="K21" s="4"/>
    </row>
    <row r="22" spans="1:11" x14ac:dyDescent="0.25">
      <c r="A22" s="4"/>
      <c r="B22" s="66" t="s">
        <v>117</v>
      </c>
      <c r="C22" s="67"/>
      <c r="D22" s="67"/>
      <c r="E22" s="67"/>
      <c r="F22" s="67"/>
      <c r="G22" s="67"/>
      <c r="H22" s="67"/>
      <c r="I22" s="67"/>
      <c r="J22" s="68"/>
      <c r="K22" s="4"/>
    </row>
    <row r="23" spans="1:11" x14ac:dyDescent="0.25">
      <c r="B23" s="31"/>
      <c r="C23" s="32"/>
      <c r="D23" s="32"/>
      <c r="E23" s="32">
        <v>19.36</v>
      </c>
      <c r="F23" s="32">
        <v>5.5</v>
      </c>
      <c r="G23" s="32">
        <f>3.52</f>
        <v>3.52</v>
      </c>
      <c r="H23" s="32"/>
      <c r="I23" s="33"/>
      <c r="J23" s="4"/>
      <c r="K23" s="4">
        <f>K20+G23</f>
        <v>15.475999999999999</v>
      </c>
    </row>
    <row r="24" spans="1:11" x14ac:dyDescent="0.25">
      <c r="A24" s="4"/>
      <c r="B24" s="66" t="s">
        <v>118</v>
      </c>
      <c r="C24" s="67"/>
      <c r="D24" s="67"/>
      <c r="E24" s="67"/>
      <c r="F24" s="67"/>
      <c r="G24" s="67"/>
      <c r="H24" s="67"/>
      <c r="I24" s="67"/>
      <c r="J24" s="68"/>
      <c r="K24" s="30"/>
    </row>
    <row r="25" spans="1:11" x14ac:dyDescent="0.25">
      <c r="D25" s="4"/>
      <c r="E25" s="4"/>
      <c r="F25" s="4">
        <v>10</v>
      </c>
      <c r="G25" s="4" t="s">
        <v>116</v>
      </c>
      <c r="H25" s="4"/>
      <c r="I25" s="4"/>
      <c r="J25" s="4"/>
      <c r="K25" s="4">
        <f>K23+F25</f>
        <v>25.475999999999999</v>
      </c>
    </row>
    <row r="26" spans="1:11" x14ac:dyDescent="0.25">
      <c r="A26" s="4"/>
      <c r="B26" s="28"/>
      <c r="C26" s="29"/>
      <c r="D26" s="29"/>
      <c r="E26" s="29"/>
      <c r="F26" s="29"/>
      <c r="G26" s="29"/>
      <c r="H26" s="29"/>
      <c r="I26" s="29"/>
      <c r="J26" s="30"/>
      <c r="K26" s="30"/>
    </row>
    <row r="27" spans="1:11" x14ac:dyDescent="0.25">
      <c r="B27" t="s">
        <v>119</v>
      </c>
      <c r="C27" t="s">
        <v>31</v>
      </c>
      <c r="D27" s="4"/>
      <c r="E27" s="4">
        <v>2</v>
      </c>
      <c r="F27" s="4"/>
      <c r="G27" s="4"/>
      <c r="H27" s="4"/>
      <c r="I27" s="4"/>
      <c r="J27" s="4"/>
      <c r="K27" s="4">
        <f>K25+E27</f>
        <v>27.475999999999999</v>
      </c>
    </row>
    <row r="28" spans="1:11" x14ac:dyDescent="0.25">
      <c r="A28" s="4"/>
      <c r="B28" s="28" t="s">
        <v>120</v>
      </c>
      <c r="C28" s="29" t="s">
        <v>31</v>
      </c>
      <c r="D28" s="29"/>
      <c r="E28" s="29">
        <v>3</v>
      </c>
      <c r="F28" s="29"/>
      <c r="G28" s="29"/>
      <c r="H28" s="29"/>
      <c r="I28" s="29"/>
      <c r="J28" s="30"/>
      <c r="K28" s="30">
        <f>K27+E28</f>
        <v>30.475999999999999</v>
      </c>
    </row>
    <row r="29" spans="1:11" x14ac:dyDescent="0.25">
      <c r="B29" t="s">
        <v>121</v>
      </c>
      <c r="C29" t="s">
        <v>39</v>
      </c>
      <c r="D29" s="4"/>
      <c r="E29" s="4">
        <v>3.1E-2</v>
      </c>
      <c r="F29" s="4"/>
      <c r="G29" s="4"/>
      <c r="H29" s="4"/>
      <c r="I29" s="4"/>
      <c r="J29" s="4"/>
      <c r="K29" s="30" t="s">
        <v>54</v>
      </c>
    </row>
    <row r="30" spans="1:11" x14ac:dyDescent="0.25">
      <c r="A30" s="4"/>
      <c r="B30" t="s">
        <v>122</v>
      </c>
      <c r="C30" s="29" t="s">
        <v>123</v>
      </c>
      <c r="D30" s="29"/>
      <c r="E30" s="29">
        <v>4.2000000000000003E-2</v>
      </c>
      <c r="F30" s="29"/>
      <c r="G30" s="29"/>
      <c r="H30" s="29"/>
      <c r="I30" s="29"/>
      <c r="J30" s="30"/>
      <c r="K30" s="30" t="e">
        <f>K29+E30</f>
        <v>#VALUE!</v>
      </c>
    </row>
    <row r="31" spans="1:11" x14ac:dyDescent="0.25"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4"/>
      <c r="B32" s="28"/>
      <c r="C32" s="29"/>
      <c r="D32" s="29"/>
      <c r="E32" s="29"/>
      <c r="F32" s="29"/>
      <c r="G32" s="29"/>
      <c r="H32" s="29"/>
      <c r="I32" s="29"/>
      <c r="J32" s="30"/>
      <c r="K32" s="30"/>
    </row>
    <row r="33" spans="1:11" x14ac:dyDescent="0.25"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4"/>
      <c r="B34" s="28"/>
      <c r="C34" s="29"/>
      <c r="D34" s="29"/>
      <c r="E34" s="29"/>
      <c r="F34" s="29"/>
      <c r="G34" s="29"/>
      <c r="H34" s="29"/>
      <c r="I34" s="29"/>
      <c r="J34" s="30"/>
      <c r="K34" s="30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28"/>
      <c r="C39" s="29"/>
      <c r="D39" s="29"/>
      <c r="E39" s="29"/>
      <c r="F39" s="29"/>
      <c r="G39" s="29"/>
      <c r="H39" s="29"/>
      <c r="I39" s="29"/>
      <c r="J39" s="30"/>
      <c r="K39" s="30"/>
    </row>
    <row r="40" spans="1:11" x14ac:dyDescent="0.25"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4"/>
      <c r="B41" s="28"/>
      <c r="C41" s="29"/>
      <c r="D41" s="29"/>
      <c r="E41" s="29"/>
      <c r="F41" s="29"/>
      <c r="G41" s="29"/>
      <c r="H41" s="29"/>
      <c r="I41" s="29"/>
      <c r="J41" s="30"/>
      <c r="K41" s="30"/>
    </row>
    <row r="42" spans="1:11" x14ac:dyDescent="0.25"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4"/>
      <c r="B43" s="28"/>
      <c r="C43" s="29"/>
      <c r="D43" s="29"/>
      <c r="E43" s="29"/>
      <c r="F43" s="29"/>
      <c r="G43" s="29"/>
      <c r="H43" s="29"/>
      <c r="I43" s="29"/>
      <c r="J43" s="30"/>
      <c r="K43" s="30"/>
    </row>
    <row r="44" spans="1:11" x14ac:dyDescent="0.25"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28"/>
      <c r="C45" s="29"/>
      <c r="D45" s="29"/>
      <c r="E45" s="29"/>
      <c r="F45" s="29"/>
      <c r="G45" s="29"/>
      <c r="H45" s="29"/>
      <c r="I45" s="29"/>
      <c r="J45" s="30"/>
      <c r="K45" s="30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5"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7" spans="1:11" ht="26.25" x14ac:dyDescent="0.25">
      <c r="A67" s="56" t="s">
        <v>0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</row>
    <row r="68" spans="1:11" x14ac:dyDescent="0.2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7" t="s">
        <v>1</v>
      </c>
      <c r="B69" s="58"/>
      <c r="C69" s="58"/>
      <c r="D69" s="58"/>
      <c r="E69" s="58"/>
      <c r="F69" s="8"/>
      <c r="G69" s="9" t="s">
        <v>2</v>
      </c>
      <c r="H69" s="58"/>
      <c r="I69" s="58"/>
      <c r="J69" s="58"/>
      <c r="K69" s="58"/>
    </row>
    <row r="70" spans="1:11" x14ac:dyDescent="0.25">
      <c r="A70" s="7"/>
      <c r="B70" s="53" t="s">
        <v>3</v>
      </c>
      <c r="C70" s="53"/>
      <c r="D70" s="53" t="s">
        <v>4</v>
      </c>
      <c r="E70" s="53"/>
      <c r="F70" s="10" t="s">
        <v>5</v>
      </c>
      <c r="G70" s="9"/>
      <c r="H70" s="9"/>
      <c r="I70" s="9"/>
      <c r="J70" s="9"/>
      <c r="K70" s="9"/>
    </row>
    <row r="71" spans="1:11" ht="15.75" thickBot="1" x14ac:dyDescent="0.3">
      <c r="A71" s="11" t="s">
        <v>6</v>
      </c>
      <c r="B71" s="12"/>
      <c r="C71" s="12"/>
      <c r="D71" s="54"/>
      <c r="E71" s="54"/>
      <c r="F71" s="54"/>
      <c r="G71" s="10"/>
      <c r="H71" s="10"/>
      <c r="I71" s="10"/>
      <c r="J71" s="10"/>
      <c r="K71" s="10"/>
    </row>
    <row r="72" spans="1:11" ht="15.75" thickBot="1" x14ac:dyDescent="0.3">
      <c r="A72" s="55" t="s">
        <v>7</v>
      </c>
      <c r="B72" s="51"/>
      <c r="C72" s="51"/>
      <c r="D72" s="51" t="s">
        <v>8</v>
      </c>
      <c r="E72" s="51"/>
      <c r="F72" s="51"/>
      <c r="G72" s="51"/>
      <c r="H72" s="51" t="s">
        <v>9</v>
      </c>
      <c r="I72" s="51"/>
      <c r="J72" s="51"/>
      <c r="K72" s="52"/>
    </row>
    <row r="73" spans="1:11" ht="90" x14ac:dyDescent="0.25">
      <c r="A73" s="13" t="s">
        <v>10</v>
      </c>
      <c r="B73" s="14" t="s">
        <v>11</v>
      </c>
      <c r="C73" s="14" t="s">
        <v>12</v>
      </c>
      <c r="D73" s="14" t="s">
        <v>13</v>
      </c>
      <c r="E73" s="14" t="s">
        <v>14</v>
      </c>
      <c r="F73" s="14" t="s">
        <v>15</v>
      </c>
      <c r="G73" s="14" t="s">
        <v>16</v>
      </c>
      <c r="H73" s="14" t="s">
        <v>13</v>
      </c>
      <c r="I73" s="14" t="s">
        <v>14</v>
      </c>
      <c r="J73" s="14" t="s">
        <v>15</v>
      </c>
      <c r="K73" s="14" t="s">
        <v>16</v>
      </c>
    </row>
    <row r="74" spans="1:11" x14ac:dyDescent="0.25">
      <c r="A74" s="4"/>
      <c r="B74" s="4"/>
      <c r="C74" s="44" t="s">
        <v>27</v>
      </c>
      <c r="D74" s="45"/>
      <c r="E74" s="46"/>
      <c r="F74" s="4"/>
      <c r="G74" s="4"/>
      <c r="H74" s="4"/>
      <c r="I74" s="4"/>
      <c r="J74" s="4"/>
      <c r="K74" s="4">
        <f>K59</f>
        <v>0</v>
      </c>
    </row>
    <row r="75" spans="1:11" x14ac:dyDescent="0.25">
      <c r="A75" s="4"/>
      <c r="B75" s="17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</sheetData>
  <mergeCells count="27">
    <mergeCell ref="C74:E74"/>
    <mergeCell ref="A1:K1"/>
    <mergeCell ref="B3:C3"/>
    <mergeCell ref="D3:E3"/>
    <mergeCell ref="H3:K3"/>
    <mergeCell ref="B4:C4"/>
    <mergeCell ref="D4:E4"/>
    <mergeCell ref="D5:F5"/>
    <mergeCell ref="A6:C6"/>
    <mergeCell ref="D6:G6"/>
    <mergeCell ref="H6:K6"/>
    <mergeCell ref="C8:E8"/>
    <mergeCell ref="B9:J9"/>
    <mergeCell ref="A10:K10"/>
    <mergeCell ref="B70:C70"/>
    <mergeCell ref="B19:J19"/>
    <mergeCell ref="B22:J22"/>
    <mergeCell ref="D70:E70"/>
    <mergeCell ref="D71:F71"/>
    <mergeCell ref="A72:C72"/>
    <mergeCell ref="D72:G72"/>
    <mergeCell ref="B24:J24"/>
    <mergeCell ref="A67:K67"/>
    <mergeCell ref="B69:C69"/>
    <mergeCell ref="D69:E69"/>
    <mergeCell ref="H69:K69"/>
    <mergeCell ref="H72:K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BALANCE</vt:lpstr>
      <vt:lpstr>SERVICE CREDIT</vt:lpstr>
      <vt:lpstr>BALANCE!Print_Area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Userlle</dc:creator>
  <cp:lastModifiedBy>HR - Tagudin Campus</cp:lastModifiedBy>
  <cp:lastPrinted>2026-08-11T07:15:40Z</cp:lastPrinted>
  <dcterms:created xsi:type="dcterms:W3CDTF">2022-11-18T20:14:19Z</dcterms:created>
  <dcterms:modified xsi:type="dcterms:W3CDTF">2026-08-11T07:16:39Z</dcterms:modified>
</cp:coreProperties>
</file>